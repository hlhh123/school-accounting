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교육공무직원-연구회 자료 관련\"/>
    </mc:Choice>
  </mc:AlternateContent>
  <x:bookViews>
    <x:workbookView xWindow="0" yWindow="0" windowWidth="28500" windowHeight="11310" tabRatio="500"/>
  </x:bookViews>
  <x:sheets>
    <x:sheet name="서식" sheetId="1" r:id="rId4"/>
  </x:sheets>
  <x:definedNames>
    <x:definedName name="_xlnm.Print_Area" localSheetId="0">서식!$A$1:$P$38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USER</x:author>
  </x:authors>
  <x:commentList>
    <x:comment ref="C3:C3" authorId="0">
      <x:text>
        <x:r>
          <x:rPr>
            <x:rFont val="굴림"/>
            <x:sz val="8"/>
            <x:color rgb="ff000000"/>
          </x:rPr>
          <x:t>해당 교육공무직원 성명</x:t>
        </x:r>
      </x:text>
    </x:comment>
    <x:comment ref="C4:C4" authorId="0">
      <x:text>
        <x:r>
          <x:rPr>
            <x:rFont val="굴림"/>
            <x:sz val="8"/>
            <x:color rgb="ff000000"/>
          </x:rPr>
          <x:t>해당 직원 보수월액 입력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<x:sst xmlns:r="http://schemas.openxmlformats.org/officeDocument/2006/relationships" xmlns:c="http://schemas.openxmlformats.org/drawingml/2006/chart" xmlns:x="http://schemas.openxmlformats.org/spreadsheetml/2006/main" count="70" uniqueCount="69">
  <x:si>
    <x:t>행정실무사 기관부담 산재보험 :</x:t>
  </x:si>
  <x:si>
    <x:t>기타급여4 기관부담 국민연금 :</x:t>
  </x:si>
  <x:si>
    <x:t xml:space="preserve">시설당직원     </x:t>
  </x:si>
  <x:si>
    <x:t xml:space="preserve">조리사
</x:t>
  </x:si>
  <x:si>
    <x:t>총 행정실무사 기관부담금</x:t>
  </x:si>
  <x:si>
    <x:t xml:space="preserve">시설관리직     대체직  </x:t>
  </x:si>
  <x:si>
    <x:t>2026년도
임금 기준</x:t>
  </x:si>
  <x:si>
    <x:t>원어민
보조교사
(000)</x:t>
  </x:si>
  <x:si>
    <x:t>지방공무원 대체 산재보험 :</x:t>
  </x:si>
  <x:si>
    <x:t>보건 기간제
(000)</x:t>
  </x:si>
  <x:si>
    <x:t>학교부담 장기요양보험 :</x:t>
  </x:si>
  <x:si>
    <x:t>늘봄업무보조
(000)</x:t>
  </x:si>
  <x:si>
    <x:t>* 행정실무사 2명, 사서 1명, 초등보육전담사 1명, 유치원 방과후전담사1명,  기간제교사 1명의 기관부담금은 교육청에서 지급합.</x:t>
  </x:si>
  <x:si>
    <x:t>기타급여4 기관부담 건강보험 :</x:t>
  </x:si>
  <x:si>
    <x:t>기타급여4 기관부담 고용보험 :</x:t>
  </x:si>
  <x:si>
    <x:t>기타급여4 기관부담 장기요양보험 :</x:t>
  </x:si>
  <x:si>
    <x:t>총 기간제교사+행저대체 기관부담금</x:t>
  </x:si>
  <x:si>
    <x:t>행정실무사 기관부담 장기요양보험 :</x:t>
  </x:si>
  <x:si>
    <x:t>행정실무사 기관부담 국민연금 :</x:t>
  </x:si>
  <x:si>
    <x:t>행정실무사 기관부담 고용보험 :</x:t>
  </x:si>
  <x:si>
    <x:t>기타급여4 기관부담 산재보험 :</x:t>
  </x:si>
  <x:si>
    <x:t>지방공무원 대체 기관부담건강보험 :</x:t>
  </x:si>
  <x:si>
    <x:t>행정실무사 기관부담 건강보험 :</x:t>
  </x:si>
  <x:si>
    <x:t>* 기간제교사 및 행정대체 기관부담금은 교육청에 신청하여 납부함.</x:t>
  </x:si>
  <x:si>
    <x:t>기간제교사+행정대체 기관부담 장기요양보험 :</x:t>
  </x:si>
  <x:si>
    <x:t>학교부담 국민연금 :</x:t>
  </x:si>
  <x:si>
    <x:t>학교부담 고용보험 :</x:t>
  </x:si>
  <x:si>
    <x:t>산재보험(기관)</x:t>
  </x:si>
  <x:si>
    <x:t>개인별  부담총액</x:t>
  </x:si>
  <x:si>
    <x:t>개인별기관부담총액</x:t>
  </x:si>
  <x:si>
    <x:t>건강보험(개인)</x:t>
  </x:si>
  <x:si>
    <x:t>장기요양(기관)</x:t>
  </x:si>
  <x:si>
    <x:t>건강보험 보수월액</x:t>
  </x:si>
  <x:si>
    <x:t>고용-실업급여(개인)</x:t>
  </x:si>
  <x:si>
    <x:t>고용.산재 보수월액</x:t>
  </x:si>
  <x:si>
    <x:t>학교부담 산재보험 :</x:t>
  </x:si>
  <x:si>
    <x:t>건강보험(기관)</x:t>
  </x:si>
  <x:si>
    <x:t>국민연금(기관)</x:t>
  </x:si>
  <x:si>
    <x:t>기타급여4 기관부담금</x:t>
  </x:si>
  <x:si>
    <x:t>고용-실업급여(기관)</x:t>
  </x:si>
  <x:si>
    <x:t>학교부담 건강보험 :</x:t>
  </x:si>
  <x:si>
    <x:t>국민연금 보수월액</x:t>
  </x:si>
  <x:si>
    <x:t>고용-안정직업(기관)</x:t>
  </x:si>
  <x:si>
    <x:t>고용적용
임금총액</x:t>
  </x:si>
  <x:si>
    <x:t>장기요양(개인)</x:t>
  </x:si>
  <x:si>
    <x:t>국민연금(개인)</x:t>
  </x:si>
  <x:si>
    <x:t>시설당직원
(000)</x:t>
  </x:si>
  <x:si>
    <x:t>시설미화원
(000)</x:t>
  </x:si>
  <x:si>
    <x:t>산재적용
임금총액</x:t>
  </x:si>
  <x:si>
    <x:t>기간제교사+행정대체 기관부담 산재보험 :</x:t>
  </x:si>
  <x:si>
    <x:t>지방공무원 대체 기관부담금 국민연금 :</x:t>
  </x:si>
  <x:si>
    <x:t>기간제교사+행정대체 기관부담 고용보험 :</x:t>
  </x:si>
  <x:si>
    <x:t>지방공무원 대체 기관부담금 장기요양보험 :</x:t>
  </x:si>
  <x:si>
    <x:t>기간제교사+행정대체 기관부담 국민연금 :</x:t>
  </x:si>
  <x:si>
    <x:t>기간제교사+행정대체 기관부담 건강보험 :</x:t>
  </x:si>
  <x:si>
    <x:t>지방공무원 대체 기관부담금 고용보험 :</x:t>
  </x:si>
  <x:si>
    <x:t>* 건강보험, 고용보험 보수월액은 4월부터 반영, 국민연금 보수월액은 7월부터 변경.</x:t>
  </x:si>
  <x:si>
    <x:t>합계</x:t>
  </x:si>
  <x:si>
    <x:t>계</x:t>
  </x:si>
  <x:si>
    <x:t>국민연금</x:t>
  </x:si>
  <x:si>
    <x:t>건강보험</x:t>
  </x:si>
  <x:si>
    <x:t>산재보험</x:t>
  </x:si>
  <x:si>
    <x:t>고용보험</x:t>
  </x:si>
  <x:si>
    <x:t>총 기관부담금</x:t>
  </x:si>
  <x:si>
    <x:t xml:space="preserve">교무실무사  </x:t>
  </x:si>
  <x:si>
    <x:t xml:space="preserve">시설미화원
</x:t>
  </x:si>
  <x:si>
    <x:t>★ 2026년도 4대보험료 납부내역 ★</x:t>
  </x:si>
  <x:si>
    <x:t xml:space="preserve">조리실무사      </x:t>
  </x:si>
  <x:si>
    <x:t xml:space="preserve">조리실무사  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</x:si>
</x:sst>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3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HY강B"/>
      <x:sz val="9"/>
      <x:color rgb="ff000000"/>
    </x:font>
    <x:font>
      <x:name val="HY강B"/>
      <x:sz val="11"/>
      <x:color rgb="ff000000"/>
    </x:font>
    <x:font>
      <x:name val="HY강B"/>
      <x:sz val="9"/>
      <x:color rgb="ff000000"/>
      <x:b val="1"/>
    </x:font>
    <x:font>
      <x:name val="HY강B"/>
      <x:sz val="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HY강B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M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HY강M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M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M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M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HY강M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HY강B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0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9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9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9"/>
          <x:color rgb="ffffff00"/>
          <hs:size val="100"/>
          <hs:ratio val="100"/>
          <hs:spacing val="0"/>
          <hs:offset val="0"/>
        </x:font>
      </mc:Choice>
      <mc:Fallback>
        <x:font>
          <x:name val="HY강B"/>
          <x:sz val="9"/>
          <x:color rgb="ffffff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ff99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ccccff"/>
        <x:bgColor indexed="64"/>
      </x:patternFill>
    </x:fill>
    <x:fill>
      <x:patternFill patternType="solid">
        <x:fgColor rgb="ffffcc66"/>
        <x:bgColor indexed="64"/>
      </x:patternFill>
    </x:fill>
    <x:fill>
      <x:patternFill patternType="solid">
        <x:fgColor rgb="ffffcccc"/>
        <x:bgColor indexed="64"/>
      </x:patternFill>
    </x:fill>
    <x:fill>
      <x:patternFill patternType="solid">
        <x:fgColor rgb="ffffb2ff"/>
        <x:bgColor indexed="64"/>
      </x:patternFill>
    </x:fill>
    <x:fill>
      <x:patternFill patternType="solid">
        <x:fgColor rgb="ffff9999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ecd17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d8bee4"/>
        <x:bgColor indexed="64"/>
      </x:patternFill>
    </x:fill>
  </x:fills>
  <x:borders count="3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rgb="ff000000"/>
      </x:left>
      <x:right>
        <x:color rgb="ff000000"/>
      </x:right>
      <x:top>
        <x:color rgb="ff000000"/>
      </x:top>
      <x:bottom style="thin">
        <x:color auto="1"/>
      </x:bottom>
    </x:border>
    <x:border>
      <x:left style="thin">
        <x:color auto="1"/>
      </x:left>
      <x:right>
        <x:color rgb="ff000000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rgb="ff000000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thin">
        <x:color auto="1"/>
      </x:left>
      <x:right>
        <x:color rgb="ff000000"/>
      </x:right>
      <x:top style="thin">
        <x:color auto="1"/>
      </x:top>
      <x:bottom>
        <x:color rgb="ff000000"/>
      </x:bottom>
    </x:border>
    <x:border>
      <x:left style="thin">
        <x:color auto="1"/>
      </x:left>
      <x:right>
        <x:color rgb="ff000000"/>
      </x:right>
      <x:top>
        <x:color rgb="ff000000"/>
      </x:top>
      <x:bottom>
        <x:color rgb="ff000000"/>
      </x:bottom>
    </x:border>
    <x:border>
      <x:left style="thin">
        <x:color auto="1"/>
      </x:left>
      <x:right>
        <x:color rgb="ff000000"/>
      </x:right>
      <x:top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>
        <x:color rgb="ff000000"/>
      </x:top>
      <x:bottom>
        <x:color rgb="ff000000"/>
      </x:bottom>
    </x:border>
    <x:border>
      <x:left style="thin">
        <x:color auto="1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 style="double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139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3" borderId="1" xfId="0" applyNumberFormat="1" applyFont="1" applyFill="1" applyBorder="1" applyAlignment="1">
          <x:alignment horizontal="center" vertical="center"/>
        </x:xf>
      </mc:Fallback>
    </mc:AlternateContent>
    <x:xf numFmtId="0" fontId="9" fillId="0" borderId="2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Alignment="1" applyProtection="1">
      <x:alignment horizontal="general" vertical="center"/>
    </x:xf>
    <x:xf numFmtId="0" fontId="10" fillId="0" borderId="3" xfId="0" applyNumberFormat="1" applyFont="1" applyFill="1" applyBorder="1" applyAlignment="1" applyProtection="1">
      <x:alignment horizontal="general" vertical="center"/>
    </x:xf>
    <x:xf numFmtId="0" fontId="10" fillId="0" borderId="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6" fillId="3" borderId="1" xfId="0" applyNumberFormat="1" applyFont="1" applyFill="1" applyBorder="1" applyAlignment="1">
      <x:alignment horizontal="left" vertical="center"/>
    </x:xf>
    <x:xf numFmtId="41" fontId="6" fillId="3" borderId="1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>
          <x:alignment horizontal="center" vertical="center"/>
        </x:xf>
      </mc:Fallback>
    </mc:AlternateContent>
    <x:xf numFmtId="41" fontId="6" fillId="4" borderId="1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1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5" borderId="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5" borderId="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7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7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8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8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0" applyNumberFormat="1" applyFont="1" applyAlignment="1">
          <x:alignment horizontal="center" vertical="center"/>
        </x:xf>
      </mc:Fallback>
    </mc:AlternateContent>
    <x:xf numFmtId="41" fontId="13" fillId="0" borderId="0" xfId="0" applyNumberFormat="1" applyFont="1" applyFill="1" applyBorder="1" applyAlignment="1" applyProtection="1">
      <x:alignment horizontal="general" vertical="center"/>
    </x:xf>
    <x:xf numFmtId="49" fontId="14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6" xfId="0" applyNumberFormat="1" applyFont="1" applyFill="1" applyBorder="1" applyAlignment="1" applyProtection="1">
          <x:alignment horizontal="center" vertical="center"/>
        </x:xf>
      </mc:Fallback>
    </mc:AlternateContent>
    <x:xf numFmtId="41" fontId="13" fillId="0" borderId="0" xfId="0" applyNumberFormat="1" applyFont="1" applyFill="1" applyBorder="1" applyAlignment="1" applyProtection="1">
      <x:alignment horizontal="left" vertical="center"/>
    </x:xf>
    <x:xf numFmtId="41" fontId="15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2" fillId="0" borderId="8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2" fillId="0" borderId="8" xfId="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7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1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1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1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9" xfId="0" applyNumberFormat="1" applyFont="1" applyFill="1" applyBorder="1" applyAlignment="1">
          <x:alignment horizontal="center" vertical="center"/>
        </x:xf>
      </mc:Fallback>
    </mc:AlternateContent>
    <x:xf numFmtId="0" fontId="6" fillId="0" borderId="2" xfId="0" applyNumberFormat="1" applyFont="1" applyFill="1" applyBorder="1" applyAlignment="1" applyProtection="1">
      <x:alignment horizontal="left" vertical="center"/>
    </x:xf>
    <x:xf numFmtId="0" fontId="18" fillId="0" borderId="3" xfId="0" applyNumberFormat="1" applyFont="1" applyFill="1" applyBorder="1" applyAlignment="1" applyProtection="1">
      <x:alignment horizontal="left" vertical="center"/>
    </x:xf>
    <x:xf numFmtId="0" fontId="10" fillId="0" borderId="3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7" fillId="11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11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7" fillId="11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11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4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4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4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4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4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5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6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6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5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5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5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5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5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5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8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8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2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2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2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2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1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1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18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18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2" borderId="2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2" borderId="2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2" borderId="2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2" borderId="2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2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2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2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2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2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2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7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7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6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6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1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1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3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3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3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3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3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3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9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9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2" borderId="28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2" borderId="28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3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3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3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3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3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3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1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1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1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1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1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9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9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2" borderId="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2" borderId="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11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11" borderId="1" xfId="0" applyNumberFormat="1" applyFont="1" applyFill="1" applyBorder="1" applyAlignment="1">
          <x:alignment horizontal="center" vertical="center"/>
        </x:xf>
      </mc:Fallback>
    </mc:AlternateContent>
  </x:cellXfs>
  <x:cellStyles count="3">
    <x:cellStyle name="표준" xfId="0" builtinId="0" iLevel="0"/>
    <x:cellStyle name="콤마[0]" xfId="1" builtinId="6" iLevel="0"/>
    <x:cellStyle name="통화[0]" xfId="2" builtinId="7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ff00"/>
    <x:pageSetUpPr autoPageBreaks="1" fitToPage="1"/>
  </x:sheetPr>
  <x:dimension ref="A1:Q38"/>
  <x:sheetViews>
    <x:sheetView tabSelected="1" topLeftCell="A1" zoomScaleNormal="100" zoomScaleSheetLayoutView="100" workbookViewId="0">
      <x:pane xSplit="2" ySplit="3" topLeftCell="C4" activePane="bottomRight" state="frozen"/>
      <x:selection pane="bottomRight" activeCell="O16" activeCellId="0" sqref="O16:O16"/>
    </x:sheetView>
  </x:sheetViews>
  <x:sheetFormatPr defaultColWidth="8.88671875" defaultRowHeight="20.10000000000000142109" customHeight="1"/>
  <x:cols>
    <x:col min="1" max="1" width="6.6640625" style="2" bestFit="1" customWidth="1"/>
    <x:col min="2" max="2" width="14.109375" style="2" customWidth="1"/>
    <x:col min="3" max="9" width="10.77734375" style="2" customWidth="1"/>
    <x:col min="10" max="11" width="8.32421875" style="2" bestFit="1" customWidth="1"/>
    <x:col min="12" max="12" width="11.25" style="2" bestFit="1" customWidth="1"/>
    <x:col min="13" max="13" width="9.5546875" style="2" customWidth="1"/>
    <x:col min="14" max="14" width="10.77734375" style="2" customWidth="1"/>
    <x:col min="15" max="15" width="15.77734375" style="2" customWidth="1"/>
    <x:col min="16" max="16" width="13.88671875" style="2" bestFit="1" customWidth="1"/>
    <x:col min="17" max="17" width="14" style="2" customWidth="1"/>
    <x:col min="18" max="16384" width="8.88671875" style="2"/>
  </x:cols>
  <x:sheetData>
    <x:row r="1" spans="1:16" ht="31.5" customHeight="1">
      <x:c r="A1" s="50" t="s">
        <x:v>66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</x:row>
    <x:row r="3" spans="1:16" ht="49.5" customHeight="1">
      <x:c r="A3" s="51" t="s">
        <x:v>6</x:v>
      </x:c>
      <x:c r="B3" s="52"/>
      <x:c r="C3" s="3" t="s">
        <x:v>2</x:v>
      </x:c>
      <x:c r="D3" s="128" t="s">
        <x:v>65</x:v>
      </x:c>
      <x:c r="E3" s="45" t="s">
        <x:v>64</x:v>
      </x:c>
      <x:c r="F3" s="45" t="s">
        <x:v>5</x:v>
      </x:c>
      <x:c r="G3" s="128" t="s">
        <x:v>3</x:v>
      </x:c>
      <x:c r="H3" s="45" t="s">
        <x:v>67</x:v>
      </x:c>
      <x:c r="I3" s="45" t="s">
        <x:v>68</x:v>
      </x:c>
      <x:c r="J3" s="44" t="s">
        <x:v>47</x:v>
      </x:c>
      <x:c r="K3" s="44" t="s">
        <x:v>46</x:v>
      </x:c>
      <x:c r="L3" s="45" t="s">
        <x:v>7</x:v>
      </x:c>
      <x:c r="M3" s="44" t="s">
        <x:v>11</x:v>
      </x:c>
      <x:c r="N3" s="44" t="s">
        <x:v>9</x:v>
      </x:c>
      <x:c r="O3" s="3" t="s">
        <x:v>48</x:v>
      </x:c>
      <x:c r="P3" s="3" t="s">
        <x:v>43</x:v>
      </x:c>
    </x:row>
    <x:row r="4" spans="1:16" customHeight="1">
      <x:c r="A4" s="53" t="s">
        <x:v>32</x:v>
      </x:c>
      <x:c r="B4" s="5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5"/>
    </x:row>
    <x:row r="5" spans="1:16" customHeight="1">
      <x:c r="A5" s="55" t="s">
        <x:v>41</x:v>
      </x:c>
      <x:c r="B5" s="56"/>
      <x:c r="C5" s="129"/>
      <x:c r="D5" s="129"/>
      <x:c r="E5" s="129"/>
      <x:c r="F5" s="129"/>
      <x:c r="G5" s="129"/>
      <x:c r="H5" s="129"/>
      <x:c r="I5" s="129"/>
      <x:c r="J5" s="129"/>
      <x:c r="K5" s="129"/>
      <x:c r="L5" s="129"/>
      <x:c r="M5" s="129"/>
      <x:c r="N5" s="129"/>
      <x:c r="O5" s="129"/>
      <x:c r="P5" s="130"/>
    </x:row>
    <x:row r="6" spans="1:16" customHeight="1">
      <x:c r="A6" s="57" t="s">
        <x:v>34</x:v>
      </x:c>
      <x:c r="B6" s="58"/>
      <x:c r="C6" s="131"/>
      <x:c r="D6" s="131"/>
      <x:c r="E6" s="131"/>
      <x:c r="F6" s="131"/>
      <x:c r="G6" s="131"/>
      <x:c r="H6" s="131"/>
      <x:c r="I6" s="131"/>
      <x:c r="J6" s="131"/>
      <x:c r="K6" s="131"/>
      <x:c r="L6" s="131"/>
      <x:c r="M6" s="131"/>
      <x:c r="N6" s="131"/>
      <x:c r="O6" s="131"/>
      <x:c r="P6" s="47"/>
    </x:row>
    <x:row r="7" spans="1:16" customHeight="1">
      <x:c r="A7" s="6" t="s">
        <x:v>56</x:v>
      </x:c>
      <x:c r="B7" s="6"/>
      <x:c r="C7" s="6"/>
      <x:c r="D7" s="6"/>
      <x:c r="E7" s="7"/>
      <x:c r="F7" s="7"/>
      <x:c r="G7" s="7"/>
      <x:c r="N7" s="59" t="s">
        <x:v>23</x:v>
      </x:c>
      <x:c r="O7" s="59"/>
      <x:c r="P7" s="59"/>
    </x:row>
    <x:row r="8" spans="1:16" customHeight="1">
      <x:c r="A8" s="60"/>
      <x:c r="B8" s="60"/>
      <x:c r="C8" s="60"/>
      <x:c r="D8" s="60"/>
      <x:c r="E8" s="60"/>
      <x:c r="F8" s="60"/>
      <x:c r="G8" s="61"/>
      <x:c r="H8" s="61"/>
      <x:c r="I8" s="61"/>
      <x:c r="J8" s="8"/>
      <x:c r="K8" s="9"/>
      <x:c r="L8" s="9"/>
      <x:c r="M8" s="9"/>
      <x:c r="N8" s="9"/>
      <x:c r="O8" s="62" t="s">
        <x:v>57</x:v>
      </x:c>
      <x:c r="P8" s="63"/>
    </x:row>
    <x:row r="9" spans="1:16" customHeight="1">
      <x:c r="A9" s="64" t="s">
        <x:v>60</x:v>
      </x:c>
      <x:c r="B9" s="10" t="s">
        <x:v>30</x:v>
      </x:c>
      <x:c r="C9" s="11">
        <x:f>ROUNDDOWN(C4*3.595%,-1)</x:f>
        <x:v>0</x:v>
      </x:c>
      <x:c r="D9" s="11">
        <x:f t="shared" ref="D9:M9" si="0">ROUNDDOWN(D4*3.595%,-1)</x:f>
        <x:v>0</x:v>
      </x:c>
      <x:c r="E9" s="11">
        <x:f t="shared" si="0"/>
        <x:v>0</x:v>
      </x:c>
      <x:c r="F9" s="11">
        <x:f t="shared" si="0"/>
        <x:v>0</x:v>
      </x:c>
      <x:c r="G9" s="11">
        <x:f t="shared" si="0"/>
        <x:v>0</x:v>
      </x:c>
      <x:c r="H9" s="11">
        <x:f t="shared" si="0"/>
        <x:v>0</x:v>
      </x:c>
      <x:c r="I9" s="11">
        <x:f t="shared" si="0"/>
        <x:v>0</x:v>
      </x:c>
      <x:c r="J9" s="11">
        <x:f t="shared" si="0"/>
        <x:v>0</x:v>
      </x:c>
      <x:c r="K9" s="11">
        <x:f t="shared" si="0"/>
        <x:v>0</x:v>
      </x:c>
      <x:c r="L9" s="11">
        <x:f t="shared" si="0"/>
        <x:v>0</x:v>
      </x:c>
      <x:c r="M9" s="11">
        <x:f t="shared" si="0"/>
        <x:v>0</x:v>
      </x:c>
      <x:c r="N9" s="11">
        <x:f>ROUNDDOWN(N4*3.545%,-1)</x:f>
        <x:v>0</x:v>
      </x:c>
      <x:c r="O9" s="12">
        <x:f t="shared" ref="O9:O17" si="1">SUM(C9:N9)</x:f>
        <x:v>0</x:v>
      </x:c>
      <x:c r="P9" s="67">
        <x:f>ROUNDUP(SUM(O9:O12),0)</x:f>
        <x:v>0</x:v>
      </x:c>
    </x:row>
    <x:row r="10" spans="1:16" customHeight="1">
      <x:c r="A10" s="65"/>
      <x:c r="B10" s="10" t="s">
        <x:v>44</x:v>
      </x:c>
      <x:c r="C10" s="11">
        <x:f>ROUNDDOWN(C9*13.14%,-1)</x:f>
        <x:v>0</x:v>
      </x:c>
      <x:c r="D10" s="11">
        <x:f t="shared" ref="D10:M10" si="2">ROUNDDOWN(D9*13.14%,-1)</x:f>
        <x:v>0</x:v>
      </x:c>
      <x:c r="E10" s="11">
        <x:f t="shared" si="2"/>
        <x:v>0</x:v>
      </x:c>
      <x:c r="F10" s="11">
        <x:f t="shared" si="2"/>
        <x:v>0</x:v>
      </x:c>
      <x:c r="G10" s="11">
        <x:f t="shared" si="2"/>
        <x:v>0</x:v>
      </x:c>
      <x:c r="H10" s="11">
        <x:f t="shared" si="2"/>
        <x:v>0</x:v>
      </x:c>
      <x:c r="I10" s="11">
        <x:f t="shared" si="2"/>
        <x:v>0</x:v>
      </x:c>
      <x:c r="J10" s="11">
        <x:f t="shared" si="2"/>
        <x:v>0</x:v>
      </x:c>
      <x:c r="K10" s="11">
        <x:f t="shared" si="2"/>
        <x:v>0</x:v>
      </x:c>
      <x:c r="L10" s="11">
        <x:f t="shared" si="2"/>
        <x:v>0</x:v>
      </x:c>
      <x:c r="M10" s="11">
        <x:f t="shared" si="2"/>
        <x:v>0</x:v>
      </x:c>
      <x:c r="N10" s="11">
        <x:f>ROUNDDOWN(N9*12.95%,-1)</x:f>
        <x:v>0</x:v>
      </x:c>
      <x:c r="O10" s="12">
        <x:f t="shared" si="1"/>
        <x:v>0</x:v>
      </x:c>
      <x:c r="P10" s="68"/>
    </x:row>
    <x:row r="11" spans="1:16" customHeight="1">
      <x:c r="A11" s="65"/>
      <x:c r="B11" s="10" t="s">
        <x:v>36</x:v>
      </x:c>
      <x:c r="C11" s="11">
        <x:f>ROUNDDOWN(C4*3.595%,-1)</x:f>
        <x:v>0</x:v>
      </x:c>
      <x:c r="D11" s="11">
        <x:f t="shared" ref="D11:M11" si="3">ROUNDDOWN(D4*3.595%,-1)</x:f>
        <x:v>0</x:v>
      </x:c>
      <x:c r="E11" s="11">
        <x:f t="shared" si="3"/>
        <x:v>0</x:v>
      </x:c>
      <x:c r="F11" s="11">
        <x:f t="shared" si="3"/>
        <x:v>0</x:v>
      </x:c>
      <x:c r="G11" s="11">
        <x:f t="shared" si="3"/>
        <x:v>0</x:v>
      </x:c>
      <x:c r="H11" s="11">
        <x:f t="shared" si="3"/>
        <x:v>0</x:v>
      </x:c>
      <x:c r="I11" s="11">
        <x:f t="shared" si="3"/>
        <x:v>0</x:v>
      </x:c>
      <x:c r="J11" s="11">
        <x:f t="shared" si="3"/>
        <x:v>0</x:v>
      </x:c>
      <x:c r="K11" s="11">
        <x:f t="shared" si="3"/>
        <x:v>0</x:v>
      </x:c>
      <x:c r="L11" s="11">
        <x:f t="shared" si="3"/>
        <x:v>0</x:v>
      </x:c>
      <x:c r="M11" s="11">
        <x:f t="shared" si="3"/>
        <x:v>0</x:v>
      </x:c>
      <x:c r="N11" s="11">
        <x:f>ROUNDDOWN(N4*3.545%,-1)</x:f>
        <x:v>0</x:v>
      </x:c>
      <x:c r="O11" s="12">
        <x:f t="shared" si="1"/>
        <x:v>0</x:v>
      </x:c>
      <x:c r="P11" s="68"/>
    </x:row>
    <x:row r="12" spans="1:16" customHeight="1">
      <x:c r="A12" s="66"/>
      <x:c r="B12" s="10" t="s">
        <x:v>31</x:v>
      </x:c>
      <x:c r="C12" s="11">
        <x:f>ROUNDDOWN(C11*13.14%,-1)</x:f>
        <x:v>0</x:v>
      </x:c>
      <x:c r="D12" s="11">
        <x:f t="shared" ref="D12:M12" si="4">ROUNDDOWN(D11*13.14%,-1)</x:f>
        <x:v>0</x:v>
      </x:c>
      <x:c r="E12" s="11">
        <x:f t="shared" si="4"/>
        <x:v>0</x:v>
      </x:c>
      <x:c r="F12" s="11">
        <x:f t="shared" si="4"/>
        <x:v>0</x:v>
      </x:c>
      <x:c r="G12" s="11">
        <x:f t="shared" si="4"/>
        <x:v>0</x:v>
      </x:c>
      <x:c r="H12" s="11">
        <x:f t="shared" si="4"/>
        <x:v>0</x:v>
      </x:c>
      <x:c r="I12" s="11">
        <x:f t="shared" si="4"/>
        <x:v>0</x:v>
      </x:c>
      <x:c r="J12" s="11">
        <x:f t="shared" si="4"/>
        <x:v>0</x:v>
      </x:c>
      <x:c r="K12" s="11">
        <x:f t="shared" si="4"/>
        <x:v>0</x:v>
      </x:c>
      <x:c r="L12" s="11">
        <x:f t="shared" si="4"/>
        <x:v>0</x:v>
      </x:c>
      <x:c r="M12" s="11">
        <x:f t="shared" si="4"/>
        <x:v>0</x:v>
      </x:c>
      <x:c r="N12" s="11">
        <x:f>ROUNDDOWN(N11*12.95%,-1)</x:f>
        <x:v>0</x:v>
      </x:c>
      <x:c r="O12" s="12">
        <x:f t="shared" si="1"/>
        <x:v>0</x:v>
      </x:c>
      <x:c r="P12" s="69"/>
    </x:row>
    <x:row r="13" spans="1:16" customHeight="1">
      <x:c r="A13" s="70" t="s">
        <x:v>59</x:v>
      </x:c>
      <x:c r="B13" s="13" t="s">
        <x:v>45</x:v>
      </x:c>
      <x:c r="C13" s="14">
        <x:f>ROUNDDOWN(C5*4.75%,-1)</x:f>
        <x:v>0</x:v>
      </x:c>
      <x:c r="D13" s="14">
        <x:f t="shared" ref="D13:M13" si="5">ROUNDDOWN(D5*4.75%,-1)</x:f>
        <x:v>0</x:v>
      </x:c>
      <x:c r="E13" s="14">
        <x:f t="shared" si="5"/>
        <x:v>0</x:v>
      </x:c>
      <x:c r="F13" s="14">
        <x:f t="shared" si="5"/>
        <x:v>0</x:v>
      </x:c>
      <x:c r="G13" s="14">
        <x:f t="shared" si="5"/>
        <x:v>0</x:v>
      </x:c>
      <x:c r="H13" s="14">
        <x:f t="shared" si="5"/>
        <x:v>0</x:v>
      </x:c>
      <x:c r="I13" s="14">
        <x:f t="shared" si="5"/>
        <x:v>0</x:v>
      </x:c>
      <x:c r="J13" s="14">
        <x:f t="shared" si="5"/>
        <x:v>0</x:v>
      </x:c>
      <x:c r="K13" s="14">
        <x:f t="shared" si="5"/>
        <x:v>0</x:v>
      </x:c>
      <x:c r="L13" s="14">
        <x:f t="shared" si="5"/>
        <x:v>0</x:v>
      </x:c>
      <x:c r="M13" s="14">
        <x:f t="shared" si="5"/>
        <x:v>0</x:v>
      </x:c>
      <x:c r="N13" s="14">
        <x:f>ROUNDDOWN(N5*4.5%,-1)</x:f>
        <x:v>0</x:v>
      </x:c>
      <x:c r="O13" s="14">
        <x:f t="shared" si="1"/>
        <x:v>0</x:v>
      </x:c>
      <x:c r="P13" s="72">
        <x:f>SUM(O13:O14)</x:f>
        <x:v>0</x:v>
      </x:c>
    </x:row>
    <x:row r="14" spans="1:16" customHeight="1">
      <x:c r="A14" s="71"/>
      <x:c r="B14" s="13" t="s">
        <x:v>37</x:v>
      </x:c>
      <x:c r="C14" s="14">
        <x:f>ROUNDDOWN(C5*4.75%,-1)</x:f>
        <x:v>0</x:v>
      </x:c>
      <x:c r="D14" s="14">
        <x:f t="shared" ref="D14:M14" si="6">ROUNDDOWN(D5*4.75%,-1)</x:f>
        <x:v>0</x:v>
      </x:c>
      <x:c r="E14" s="14">
        <x:f t="shared" si="6"/>
        <x:v>0</x:v>
      </x:c>
      <x:c r="F14" s="14">
        <x:f t="shared" si="6"/>
        <x:v>0</x:v>
      </x:c>
      <x:c r="G14" s="14">
        <x:f t="shared" si="6"/>
        <x:v>0</x:v>
      </x:c>
      <x:c r="H14" s="14">
        <x:f t="shared" si="6"/>
        <x:v>0</x:v>
      </x:c>
      <x:c r="I14" s="14">
        <x:f t="shared" si="6"/>
        <x:v>0</x:v>
      </x:c>
      <x:c r="J14" s="14">
        <x:f t="shared" si="6"/>
        <x:v>0</x:v>
      </x:c>
      <x:c r="K14" s="14">
        <x:f t="shared" si="6"/>
        <x:v>0</x:v>
      </x:c>
      <x:c r="L14" s="14">
        <x:f t="shared" si="6"/>
        <x:v>0</x:v>
      </x:c>
      <x:c r="M14" s="14">
        <x:f t="shared" si="6"/>
        <x:v>0</x:v>
      </x:c>
      <x:c r="N14" s="14">
        <x:f>ROUNDDOWN(N5*4.5%,-1)</x:f>
        <x:v>0</x:v>
      </x:c>
      <x:c r="O14" s="14">
        <x:f t="shared" si="1"/>
        <x:v>0</x:v>
      </x:c>
      <x:c r="P14" s="73"/>
    </x:row>
    <x:row r="15" spans="1:16" customHeight="1">
      <x:c r="A15" s="74" t="s">
        <x:v>62</x:v>
      </x:c>
      <x:c r="B15" s="15" t="s">
        <x:v>33</x:v>
      </x:c>
      <x:c r="C15" s="47">
        <x:f>ROUNDDOWN(C6*0.9%,-1)</x:f>
        <x:v>0</x:v>
      </x:c>
      <x:c r="D15" s="47">
        <x:f t="shared" ref="D15:M15" si="7">ROUNDDOWN(D6*0.9%,-1)</x:f>
        <x:v>0</x:v>
      </x:c>
      <x:c r="E15" s="47">
        <x:f t="shared" si="7"/>
        <x:v>0</x:v>
      </x:c>
      <x:c r="F15" s="47">
        <x:f t="shared" si="7"/>
        <x:v>0</x:v>
      </x:c>
      <x:c r="G15" s="47">
        <x:f t="shared" si="7"/>
        <x:v>0</x:v>
      </x:c>
      <x:c r="H15" s="47">
        <x:f t="shared" si="7"/>
        <x:v>0</x:v>
      </x:c>
      <x:c r="I15" s="47">
        <x:f t="shared" si="7"/>
        <x:v>0</x:v>
      </x:c>
      <x:c r="J15" s="47">
        <x:f t="shared" si="7"/>
        <x:v>0</x:v>
      </x:c>
      <x:c r="K15" s="47">
        <x:f t="shared" si="7"/>
        <x:v>0</x:v>
      </x:c>
      <x:c r="L15" s="47">
        <x:f t="shared" si="7"/>
        <x:v>0</x:v>
      </x:c>
      <x:c r="M15" s="47">
        <x:f t="shared" si="7"/>
        <x:v>0</x:v>
      </x:c>
      <x:c r="N15" s="47">
        <x:f>ROUNDDOWN(N6*0.9%,-1)</x:f>
        <x:v>0</x:v>
      </x:c>
      <x:c r="O15" s="16">
        <x:f t="shared" si="1"/>
        <x:v>0</x:v>
      </x:c>
      <x:c r="P15" s="77">
        <x:f>SUM(O15:O17)</x:f>
        <x:v>0</x:v>
      </x:c>
    </x:row>
    <x:row r="16" spans="1:16" customHeight="1">
      <x:c r="A16" s="75"/>
      <x:c r="B16" s="15" t="s">
        <x:v>39</x:v>
      </x:c>
      <x:c r="C16" s="47">
        <x:f>ROUNDDOWN(C6*0.9%,-1)</x:f>
        <x:v>0</x:v>
      </x:c>
      <x:c r="D16" s="47">
        <x:f t="shared" ref="D16:M16" si="8">ROUNDDOWN(D6*0.9%,-1)</x:f>
        <x:v>0</x:v>
      </x:c>
      <x:c r="E16" s="47">
        <x:f t="shared" si="8"/>
        <x:v>0</x:v>
      </x:c>
      <x:c r="F16" s="47">
        <x:f t="shared" si="8"/>
        <x:v>0</x:v>
      </x:c>
      <x:c r="G16" s="47">
        <x:f t="shared" si="8"/>
        <x:v>0</x:v>
      </x:c>
      <x:c r="H16" s="47">
        <x:f t="shared" si="8"/>
        <x:v>0</x:v>
      </x:c>
      <x:c r="I16" s="47">
        <x:f t="shared" si="8"/>
        <x:v>0</x:v>
      </x:c>
      <x:c r="J16" s="47">
        <x:f t="shared" si="8"/>
        <x:v>0</x:v>
      </x:c>
      <x:c r="K16" s="47">
        <x:f t="shared" si="8"/>
        <x:v>0</x:v>
      </x:c>
      <x:c r="L16" s="47">
        <x:f t="shared" si="8"/>
        <x:v>0</x:v>
      </x:c>
      <x:c r="M16" s="47">
        <x:f t="shared" si="8"/>
        <x:v>0</x:v>
      </x:c>
      <x:c r="N16" s="47">
        <x:f>ROUNDDOWN(N6*0.9%,-1)</x:f>
        <x:v>0</x:v>
      </x:c>
      <x:c r="O16" s="16">
        <x:f t="shared" si="1"/>
        <x:v>0</x:v>
      </x:c>
      <x:c r="P16" s="78"/>
    </x:row>
    <x:row r="17" spans="1:16" customHeight="1">
      <x:c r="A17" s="76"/>
      <x:c r="B17" s="17" t="s">
        <x:v>42</x:v>
      </x:c>
      <x:c r="C17" s="47">
        <x:f>ROUNDDOWN(C6*0.85%,-1)</x:f>
        <x:v>0</x:v>
      </x:c>
      <x:c r="D17" s="47">
        <x:f t="shared" ref="D17:M17" si="9">ROUNDDOWN(D6*0.85%,-1)</x:f>
        <x:v>0</x:v>
      </x:c>
      <x:c r="E17" s="47">
        <x:f t="shared" si="9"/>
        <x:v>0</x:v>
      </x:c>
      <x:c r="F17" s="47">
        <x:f t="shared" si="9"/>
        <x:v>0</x:v>
      </x:c>
      <x:c r="G17" s="47">
        <x:f t="shared" si="9"/>
        <x:v>0</x:v>
      </x:c>
      <x:c r="H17" s="47">
        <x:f t="shared" si="9"/>
        <x:v>0</x:v>
      </x:c>
      <x:c r="I17" s="47">
        <x:f t="shared" si="9"/>
        <x:v>0</x:v>
      </x:c>
      <x:c r="J17" s="47">
        <x:f t="shared" si="9"/>
        <x:v>0</x:v>
      </x:c>
      <x:c r="K17" s="47">
        <x:f t="shared" si="9"/>
        <x:v>0</x:v>
      </x:c>
      <x:c r="L17" s="47">
        <x:f t="shared" si="9"/>
        <x:v>0</x:v>
      </x:c>
      <x:c r="M17" s="47">
        <x:f t="shared" si="9"/>
        <x:v>0</x:v>
      </x:c>
      <x:c r="N17" s="47">
        <x:f>ROUNDDOWN(N6*0.85%,-1)</x:f>
        <x:v>0</x:v>
      </x:c>
      <x:c r="O17" s="16">
        <x:f t="shared" si="1"/>
        <x:v>0</x:v>
      </x:c>
      <x:c r="P17" s="79"/>
    </x:row>
    <x:row r="18" spans="1:16" customHeight="1">
      <x:c r="A18" s="18" t="s">
        <x:v>61</x:v>
      </x:c>
      <x:c r="B18" s="18" t="s">
        <x:v>27</x:v>
      </x:c>
      <x:c r="C18" s="47">
        <x:f>ROUNDDOWN(C6*0.96%,-1)</x:f>
        <x:v>0</x:v>
      </x:c>
      <x:c r="D18" s="47">
        <x:f t="shared" ref="D18:N18" si="10">ROUNDDOWN(D6*0.96%,-1)</x:f>
        <x:v>0</x:v>
      </x:c>
      <x:c r="E18" s="47">
        <x:f t="shared" si="10"/>
        <x:v>0</x:v>
      </x:c>
      <x:c r="F18" s="47">
        <x:f t="shared" si="10"/>
        <x:v>0</x:v>
      </x:c>
      <x:c r="G18" s="47">
        <x:f t="shared" si="10"/>
        <x:v>0</x:v>
      </x:c>
      <x:c r="H18" s="47">
        <x:f t="shared" si="10"/>
        <x:v>0</x:v>
      </x:c>
      <x:c r="I18" s="47">
        <x:f t="shared" si="10"/>
        <x:v>0</x:v>
      </x:c>
      <x:c r="J18" s="47">
        <x:f t="shared" si="10"/>
        <x:v>0</x:v>
      </x:c>
      <x:c r="K18" s="47">
        <x:f t="shared" si="10"/>
        <x:v>0</x:v>
      </x:c>
      <x:c r="L18" s="47">
        <x:f t="shared" si="10"/>
        <x:v>0</x:v>
      </x:c>
      <x:c r="M18" s="47">
        <x:f t="shared" si="10"/>
        <x:v>0</x:v>
      </x:c>
      <x:c r="N18" s="47">
        <x:f t="shared" si="10"/>
        <x:v>0</x:v>
      </x:c>
      <x:c r="O18" s="19">
        <x:f>SUM(C18:N18)</x:f>
        <x:v>0</x:v>
      </x:c>
      <x:c r="P18" s="20">
        <x:f>SUM(O18)</x:f>
        <x:v>0</x:v>
      </x:c>
    </x:row>
    <x:row r="19" spans="1:16" s="1" customFormat="1" customHeight="1">
      <x:c r="A19" s="132" t="s">
        <x:v>58</x:v>
      </x:c>
      <x:c r="B19" s="133"/>
      <x:c r="C19" s="134">
        <x:f>SUM(C9:C18)</x:f>
        <x:v>0</x:v>
      </x:c>
      <x:c r="D19" s="135">
        <x:f t="shared" ref="D19:N19" si="11">SUM(D9:D18)</x:f>
        <x:v>0</x:v>
      </x:c>
      <x:c r="E19" s="135">
        <x:f t="shared" si="11"/>
        <x:v>0</x:v>
      </x:c>
      <x:c r="F19" s="136">
        <x:f t="shared" ref="F19:F22" si="12">D19-E19</x:f>
        <x:v>0</x:v>
      </x:c>
      <x:c r="G19" s="135">
        <x:f t="shared" si="11"/>
        <x:v>0</x:v>
      </x:c>
      <x:c r="H19" s="135">
        <x:f t="shared" si="11"/>
        <x:v>0</x:v>
      </x:c>
      <x:c r="I19" s="136">
        <x:f t="shared" ref="I19:I22" si="13">G19-H19</x:f>
        <x:v>0</x:v>
      </x:c>
      <x:c r="J19" s="135">
        <x:f t="shared" si="11"/>
        <x:v>0</x:v>
      </x:c>
      <x:c r="K19" s="135">
        <x:f t="shared" si="11"/>
        <x:v>0</x:v>
      </x:c>
      <x:c r="L19" s="136">
        <x:f t="shared" ref="L19:L22" si="14">J19-K19</x:f>
        <x:v>0</x:v>
      </x:c>
      <x:c r="M19" s="134">
        <x:f t="shared" si="11"/>
        <x:v>0</x:v>
      </x:c>
      <x:c r="N19" s="134">
        <x:f t="shared" si="11"/>
        <x:v>0</x:v>
      </x:c>
      <x:c r="O19" s="137">
        <x:f>SUM(O9:O18)</x:f>
        <x:v>0</x:v>
      </x:c>
      <x:c r="P19" s="138">
        <x:f>SUM(P9:P18)</x:f>
        <x:v>0</x:v>
      </x:c>
    </x:row>
    <x:row r="20" spans="3:15" s="1" customFormat="1" customHeight="1">
      <x:c r="C20" s="48"/>
      <x:c r="D20" s="21"/>
      <x:c r="F20" s="46">
        <x:f t="shared" si="12"/>
        <x:v>0</x:v>
      </x:c>
      <x:c r="I20" s="46">
        <x:f t="shared" si="13"/>
        <x:v>0</x:v>
      </x:c>
      <x:c r="L20" s="46">
        <x:f t="shared" si="14"/>
        <x:v>0</x:v>
      </x:c>
      <x:c r="M20" s="49"/>
      <x:c r="N20" s="48"/>
      <x:c r="O20" s="22"/>
    </x:row>
    <x:row r="21" spans="1:16" s="1" customFormat="1" customHeight="1">
      <x:c r="A21" s="80" t="s">
        <x:v>29</x:v>
      </x:c>
      <x:c r="B21" s="81"/>
      <x:c r="C21" s="47">
        <x:f>SUM(C11,C12,C14,C16,C17,C18)</x:f>
        <x:v>0</x:v>
      </x:c>
      <x:c r="D21" s="23">
        <x:f t="shared" ref="D21:N21" si="15">SUM(D11,D12,D14,D16,D17,D18)</x:f>
        <x:v>0</x:v>
      </x:c>
      <x:c r="E21" s="23">
        <x:f t="shared" si="15"/>
        <x:v>0</x:v>
      </x:c>
      <x:c r="F21" s="46">
        <x:f t="shared" si="12"/>
        <x:v>0</x:v>
      </x:c>
      <x:c r="G21" s="23">
        <x:f t="shared" si="15"/>
        <x:v>0</x:v>
      </x:c>
      <x:c r="H21" s="23">
        <x:f t="shared" si="15"/>
        <x:v>0</x:v>
      </x:c>
      <x:c r="I21" s="46">
        <x:f t="shared" si="13"/>
        <x:v>0</x:v>
      </x:c>
      <x:c r="J21" s="23">
        <x:f t="shared" si="15"/>
        <x:v>0</x:v>
      </x:c>
      <x:c r="K21" s="23">
        <x:f t="shared" si="15"/>
        <x:v>0</x:v>
      </x:c>
      <x:c r="L21" s="46">
        <x:f t="shared" si="14"/>
        <x:v>0</x:v>
      </x:c>
      <x:c r="M21" s="47">
        <x:f t="shared" si="15"/>
        <x:v>0</x:v>
      </x:c>
      <x:c r="N21" s="47">
        <x:f t="shared" si="15"/>
        <x:v>0</x:v>
      </x:c>
      <x:c r="O21" s="24">
        <x:f>SUM(C21:N21)</x:f>
        <x:v>0</x:v>
      </x:c>
      <x:c r="P21" s="82">
        <x:f>SUM(O21:O22)</x:f>
        <x:v>0</x:v>
      </x:c>
    </x:row>
    <x:row r="22" spans="1:16" s="1" customFormat="1" customHeight="1">
      <x:c r="A22" s="84" t="s">
        <x:v>28</x:v>
      </x:c>
      <x:c r="B22" s="85"/>
      <x:c r="C22" s="47">
        <x:f>SUM(C9,C10,C13,C15)</x:f>
        <x:v>0</x:v>
      </x:c>
      <x:c r="D22" s="25">
        <x:f t="shared" ref="D22:N22" si="16">SUM(D9,D10,D13,D15)</x:f>
        <x:v>0</x:v>
      </x:c>
      <x:c r="E22" s="25">
        <x:f t="shared" si="16"/>
        <x:v>0</x:v>
      </x:c>
      <x:c r="F22" s="46">
        <x:f t="shared" si="12"/>
        <x:v>0</x:v>
      </x:c>
      <x:c r="G22" s="25">
        <x:f t="shared" si="16"/>
        <x:v>0</x:v>
      </x:c>
      <x:c r="H22" s="25">
        <x:f t="shared" si="16"/>
        <x:v>0</x:v>
      </x:c>
      <x:c r="I22" s="46">
        <x:f t="shared" si="13"/>
        <x:v>0</x:v>
      </x:c>
      <x:c r="J22" s="25">
        <x:f t="shared" si="16"/>
        <x:v>0</x:v>
      </x:c>
      <x:c r="K22" s="25">
        <x:f t="shared" si="16"/>
        <x:v>0</x:v>
      </x:c>
      <x:c r="L22" s="46">
        <x:f t="shared" si="14"/>
        <x:v>0</x:v>
      </x:c>
      <x:c r="M22" s="47">
        <x:f t="shared" si="16"/>
        <x:v>0</x:v>
      </x:c>
      <x:c r="N22" s="47">
        <x:f t="shared" si="16"/>
        <x:v>0</x:v>
      </x:c>
      <x:c r="O22" s="26">
        <x:f>SUM(C22:N22)</x:f>
        <x:v>0</x:v>
      </x:c>
      <x:c r="P22" s="83"/>
    </x:row>
    <x:row r="23" spans="9:15" s="1" customFormat="1" customHeight="1">
      <x:c r="I23" s="27"/>
      <x:c r="M23" s="28"/>
      <x:c r="O23" s="29"/>
    </x:row>
    <x:row r="24" spans="3:16" s="1" customFormat="1" customHeight="1">
      <x:c r="C24" s="86" t="s">
        <x:v>13</x:v>
      </x:c>
      <x:c r="D24" s="87"/>
      <x:c r="E24" s="30">
        <x:f>SUM(C11:G11)</x:f>
        <x:v>0</x:v>
      </x:c>
      <x:c r="F24" s="31"/>
      <x:c r="G24" s="88" t="s">
        <x:v>54</x:v>
      </x:c>
      <x:c r="H24" s="89"/>
      <x:c r="I24" s="30">
        <x:f>SUM(M11:N11)</x:f>
        <x:v>0</x:v>
      </x:c>
      <x:c r="J24" s="32"/>
      <x:c r="K24" s="32"/>
      <x:c r="L24" s="90" t="s">
        <x:v>40</x:v>
      </x:c>
      <x:c r="M24" s="91"/>
      <x:c r="N24" s="92"/>
      <x:c r="O24" s="30">
        <x:f>SUM(H11:M11)</x:f>
        <x:v>0</x:v>
      </x:c>
      <x:c r="P24" s="33"/>
    </x:row>
    <x:row r="25" spans="3:15" s="1" customFormat="1" customHeight="1">
      <x:c r="C25" s="93" t="s">
        <x:v>15</x:v>
      </x:c>
      <x:c r="D25" s="94"/>
      <x:c r="E25" s="34">
        <x:f>SUM(C12:G12)</x:f>
        <x:v>0</x:v>
      </x:c>
      <x:c r="F25" s="31"/>
      <x:c r="G25" s="95" t="s">
        <x:v>24</x:v>
      </x:c>
      <x:c r="H25" s="96"/>
      <x:c r="I25" s="34">
        <x:f>SUM(M12:N12)</x:f>
        <x:v>0</x:v>
      </x:c>
      <x:c r="J25" s="35"/>
      <x:c r="K25" s="35"/>
      <x:c r="L25" s="97" t="s">
        <x:v>10</x:v>
      </x:c>
      <x:c r="M25" s="98"/>
      <x:c r="N25" s="99"/>
      <x:c r="O25" s="34">
        <x:f>SUM(H12:M12)</x:f>
        <x:v>0</x:v>
      </x:c>
    </x:row>
    <x:row r="26" spans="3:16" s="1" customFormat="1" customHeight="1">
      <x:c r="C26" s="100" t="s">
        <x:v>1</x:v>
      </x:c>
      <x:c r="D26" s="101"/>
      <x:c r="E26" s="34">
        <x:f>SUM(C13:G13)</x:f>
        <x:v>0</x:v>
      </x:c>
      <x:c r="F26" s="31"/>
      <x:c r="G26" s="95" t="s">
        <x:v>53</x:v>
      </x:c>
      <x:c r="H26" s="96"/>
      <x:c r="I26" s="34">
        <x:f>SUM(M14:N14)</x:f>
        <x:v>0</x:v>
      </x:c>
      <x:c r="J26" s="36"/>
      <x:c r="K26" s="36"/>
      <x:c r="L26" s="97" t="s">
        <x:v>25</x:v>
      </x:c>
      <x:c r="M26" s="98"/>
      <x:c r="N26" s="99"/>
      <x:c r="O26" s="34">
        <x:f>SUM(H14:M14)</x:f>
        <x:v>0</x:v>
      </x:c>
      <x:c r="P26" s="33"/>
    </x:row>
    <x:row r="27" spans="3:15" s="1" customFormat="1" customHeight="1">
      <x:c r="C27" s="100" t="s">
        <x:v>14</x:v>
      </x:c>
      <x:c r="D27" s="101"/>
      <x:c r="E27" s="34">
        <x:f>SUM(C16:G17)</x:f>
        <x:v>0</x:v>
      </x:c>
      <x:c r="F27" s="31"/>
      <x:c r="G27" s="95" t="s">
        <x:v>51</x:v>
      </x:c>
      <x:c r="H27" s="96"/>
      <x:c r="I27" s="34">
        <x:f>SUM(M16:N17)</x:f>
        <x:v>0</x:v>
      </x:c>
      <x:c r="J27" s="35"/>
      <x:c r="K27" s="35"/>
      <x:c r="L27" s="97" t="s">
        <x:v>26</x:v>
      </x:c>
      <x:c r="M27" s="98"/>
      <x:c r="N27" s="99"/>
      <x:c r="O27" s="34">
        <x:f>SUM(H16:M17)</x:f>
        <x:v>0</x:v>
      </x:c>
    </x:row>
    <x:row r="28" spans="3:15" s="1" customFormat="1" customHeight="1">
      <x:c r="C28" s="102" t="s">
        <x:v>20</x:v>
      </x:c>
      <x:c r="D28" s="103"/>
      <x:c r="E28" s="37">
        <x:f>SUM(C18:G18)</x:f>
        <x:v>0</x:v>
      </x:c>
      <x:c r="F28" s="31"/>
      <x:c r="G28" s="104" t="s">
        <x:v>49</x:v>
      </x:c>
      <x:c r="H28" s="105"/>
      <x:c r="I28" s="37">
        <x:f>SUM(M18:N18)</x:f>
        <x:v>0</x:v>
      </x:c>
      <x:c r="J28" s="35"/>
      <x:c r="K28" s="35"/>
      <x:c r="L28" s="106" t="s">
        <x:v>35</x:v>
      </x:c>
      <x:c r="M28" s="107"/>
      <x:c r="N28" s="108"/>
      <x:c r="O28" s="37">
        <x:f>SUM(H18:M18)</x:f>
        <x:v>0</x:v>
      </x:c>
    </x:row>
    <x:row r="29" spans="3:15" s="1" customFormat="1" customHeight="1">
      <x:c r="C29" s="109" t="s">
        <x:v>38</x:v>
      </x:c>
      <x:c r="D29" s="110"/>
      <x:c r="E29" s="38">
        <x:f>SUM(E24:E28)</x:f>
        <x:v>0</x:v>
      </x:c>
      <x:c r="F29" s="22"/>
      <x:c r="G29" s="111" t="s">
        <x:v>16</x:v>
      </x:c>
      <x:c r="H29" s="112"/>
      <x:c r="I29" s="38">
        <x:f>SUM(I24:I28)</x:f>
        <x:v>0</x:v>
      </x:c>
      <x:c r="J29" s="39"/>
      <x:c r="K29" s="39"/>
      <x:c r="L29" s="113" t="s">
        <x:v>63</x:v>
      </x:c>
      <x:c r="M29" s="114"/>
      <x:c r="N29" s="115"/>
      <x:c r="O29" s="38">
        <x:f>SUM(O24:O28)</x:f>
        <x:v>0</x:v>
      </x:c>
    </x:row>
    <x:row r="30" spans="3:14" s="1" customFormat="1" customHeight="1"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</x:row>
    <x:row r="31" spans="3:15" s="1" customFormat="1" customHeight="1">
      <x:c r="C31" s="116" t="s">
        <x:v>12</x:v>
      </x:c>
      <x:c r="D31" s="116"/>
      <x:c r="E31" s="116"/>
      <x:c r="F31" s="116"/>
      <x:c r="G31" s="116"/>
      <x:c r="H31" s="116"/>
      <x:c r="I31" s="116"/>
      <x:c r="J31" s="116"/>
      <x:c r="K31" s="116"/>
      <x:c r="L31" s="116"/>
      <x:c r="M31" s="116"/>
      <x:c r="N31" s="116"/>
      <x:c r="O31" s="116"/>
    </x:row>
    <x:row r="32" spans="6:15" s="1" customFormat="1" customHeight="1"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</x:row>
    <x:row r="33" spans="3:17" s="1" customFormat="1" customHeight="1">
      <x:c r="C33" s="117" t="s">
        <x:v>22</x:v>
      </x:c>
      <x:c r="D33" s="92"/>
      <x:c r="E33" s="30">
        <x:f>SUM(C11:D11)</x:f>
        <x:v>0</x:v>
      </x:c>
      <x:c r="F33" s="31"/>
      <x:c r="G33" s="31"/>
      <x:c r="H33" s="31"/>
      <x:c r="I33" s="31"/>
      <x:c r="L33" s="88" t="s">
        <x:v>21</x:v>
      </x:c>
      <x:c r="M33" s="118"/>
      <x:c r="N33" s="89"/>
      <x:c r="O33" s="30">
        <x:v>0</x:v>
      </x:c>
      <x:c r="P33" s="40"/>
      <x:c r="Q33" s="41"/>
    </x:row>
    <x:row r="34" spans="3:17" customHeight="1">
      <x:c r="C34" s="95" t="s">
        <x:v>17</x:v>
      </x:c>
      <x:c r="D34" s="119"/>
      <x:c r="E34" s="34">
        <x:f>SUM(C12:D12)</x:f>
        <x:v>0</x:v>
      </x:c>
      <x:c r="F34" s="31"/>
      <x:c r="G34" s="31"/>
      <x:c r="H34" s="31"/>
      <x:c r="I34" s="31"/>
      <x:c r="L34" s="95" t="s">
        <x:v>52</x:v>
      </x:c>
      <x:c r="M34" s="119"/>
      <x:c r="N34" s="96"/>
      <x:c r="O34" s="34">
        <x:v>0</x:v>
      </x:c>
      <x:c r="P34" s="42"/>
      <x:c r="Q34" s="41"/>
    </x:row>
    <x:row r="35" spans="3:17" customHeight="1">
      <x:c r="C35" s="120" t="s">
        <x:v>18</x:v>
      </x:c>
      <x:c r="D35" s="99"/>
      <x:c r="E35" s="34">
        <x:f>SUM(C14:D14)</x:f>
        <x:v>0</x:v>
      </x:c>
      <x:c r="F35" s="31"/>
      <x:c r="G35" s="31"/>
      <x:c r="H35" s="31"/>
      <x:c r="I35" s="31"/>
      <x:c r="L35" s="95" t="s">
        <x:v>50</x:v>
      </x:c>
      <x:c r="M35" s="119"/>
      <x:c r="N35" s="96"/>
      <x:c r="O35" s="34">
        <x:v>0</x:v>
      </x:c>
      <x:c r="P35" s="42"/>
      <x:c r="Q35" s="41"/>
    </x:row>
    <x:row r="36" spans="3:17" customHeight="1">
      <x:c r="C36" s="120" t="s">
        <x:v>19</x:v>
      </x:c>
      <x:c r="D36" s="99"/>
      <x:c r="E36" s="34">
        <x:f>SUM(C16:D18)</x:f>
        <x:v>0</x:v>
      </x:c>
      <x:c r="F36" s="31"/>
      <x:c r="G36" s="31"/>
      <x:c r="H36" s="31"/>
      <x:c r="I36" s="31"/>
      <x:c r="L36" s="95" t="s">
        <x:v>55</x:v>
      </x:c>
      <x:c r="M36" s="119"/>
      <x:c r="N36" s="96"/>
      <x:c r="O36" s="34">
        <x:v>0</x:v>
      </x:c>
      <x:c r="P36" s="43"/>
      <x:c r="Q36" s="41"/>
    </x:row>
    <x:row r="37" spans="3:17" customHeight="1">
      <x:c r="C37" s="121" t="s">
        <x:v>0</x:v>
      </x:c>
      <x:c r="D37" s="108"/>
      <x:c r="E37" s="37">
        <x:f>SUM(C18:D18)</x:f>
        <x:v>0</x:v>
      </x:c>
      <x:c r="F37" s="31"/>
      <x:c r="G37" s="31"/>
      <x:c r="H37" s="31"/>
      <x:c r="I37" s="31"/>
      <x:c r="L37" s="104" t="s">
        <x:v>8</x:v>
      </x:c>
      <x:c r="M37" s="122"/>
      <x:c r="N37" s="105"/>
      <x:c r="O37" s="37">
        <x:v>0</x:v>
      </x:c>
      <x:c r="P37" s="43"/>
      <x:c r="Q37" s="41"/>
    </x:row>
    <x:row r="38" spans="3:17" customHeight="1">
      <x:c r="C38" s="123" t="s">
        <x:v>4</x:v>
      </x:c>
      <x:c r="D38" s="124"/>
      <x:c r="E38" s="38">
        <x:f>SUM(E33:E37)</x:f>
        <x:v>0</x:v>
      </x:c>
      <x:c r="F38" s="31"/>
      <x:c r="G38" s="31"/>
      <x:c r="H38" s="31"/>
      <x:c r="I38" s="31"/>
      <x:c r="L38" s="125" t="s">
        <x:v>63</x:v>
      </x:c>
      <x:c r="M38" s="126"/>
      <x:c r="N38" s="127"/>
      <x:c r="O38" s="38">
        <x:f>SUM(O33:O37)</x:f>
        <x:v>0</x:v>
      </x:c>
      <x:c r="P38" s="43"/>
      <x:c r="Q38" s="41"/>
    </x:row>
  </x:sheetData>
  <x:mergeCells count="49">
    <x:mergeCell ref="A1:P1"/>
    <x:mergeCell ref="A3:B3"/>
    <x:mergeCell ref="A4:B4"/>
    <x:mergeCell ref="A5:B5"/>
    <x:mergeCell ref="A6:B6"/>
    <x:mergeCell ref="N7:P7"/>
    <x:mergeCell ref="A8:I8"/>
    <x:mergeCell ref="O8:P8"/>
    <x:mergeCell ref="A9:A12"/>
    <x:mergeCell ref="P9:P12"/>
    <x:mergeCell ref="A13:A14"/>
    <x:mergeCell ref="P13:P14"/>
    <x:mergeCell ref="A15:A17"/>
    <x:mergeCell ref="P15:P17"/>
    <x:mergeCell ref="A19:B19"/>
    <x:mergeCell ref="A21:B21"/>
    <x:mergeCell ref="P21:P22"/>
    <x:mergeCell ref="A22:B22"/>
    <x:mergeCell ref="C24:D24"/>
    <x:mergeCell ref="G24:H24"/>
    <x:mergeCell ref="L24:N24"/>
    <x:mergeCell ref="C25:D25"/>
    <x:mergeCell ref="G25:H25"/>
    <x:mergeCell ref="L25:N25"/>
    <x:mergeCell ref="C26:D26"/>
    <x:mergeCell ref="G26:H26"/>
    <x:mergeCell ref="L26:N26"/>
    <x:mergeCell ref="C27:D27"/>
    <x:mergeCell ref="G27:H27"/>
    <x:mergeCell ref="L27:N27"/>
    <x:mergeCell ref="C28:D28"/>
    <x:mergeCell ref="G28:H28"/>
    <x:mergeCell ref="L28:N28"/>
    <x:mergeCell ref="C29:D29"/>
    <x:mergeCell ref="G29:H29"/>
    <x:mergeCell ref="L29:N29"/>
    <x:mergeCell ref="C31:O31"/>
    <x:mergeCell ref="C33:D33"/>
    <x:mergeCell ref="L33:N33"/>
    <x:mergeCell ref="C34:D34"/>
    <x:mergeCell ref="L34:N34"/>
    <x:mergeCell ref="C35:D35"/>
    <x:mergeCell ref="L35:N35"/>
    <x:mergeCell ref="C36:D36"/>
    <x:mergeCell ref="L36:N36"/>
    <x:mergeCell ref="C37:D37"/>
    <x:mergeCell ref="L37:N37"/>
    <x:mergeCell ref="C38:D38"/>
    <x:mergeCell ref="L38:N38"/>
  </x:mergeCells>
  <x:pageMargins left="0.51138889789581298828" right="0.19666667282581329346" top="0.61180555820465087891" bottom="0.73097223043441772461" header="0.51138889789581298828" footer="0.51138889789581298828"/>
  <x:pageSetup paperSize="9" scale="61" firstPageNumber="1" fitToWidth="1" fitToHeight="1" orientation="landscape" usePrinterDefaults="1" blackAndWhite="0" draft="0" useFirstPageNumber="0" horizontalDpi="600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서식</vt:lpstr>
    </vt:vector>
  </ep:TitlesOfParts>
  <ep:TotalTime>562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33</cp:revision>
  <dcterms:created xsi:type="dcterms:W3CDTF">2025-02-10T01:05:04.500</dcterms:created>
  <dcterms:modified xsi:type="dcterms:W3CDTF">2026-07-05T23:21:10.968</dcterms:modified>
  <cp:version>1200.0100.01</cp:version>
</cp:coreProperties>
</file>