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97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교육공무직원-연구회 자료 관련\"/>
    </mc:Choice>
  </mc:AlternateContent>
  <x:bookViews>
    <x:workbookView xWindow="0" yWindow="0" windowWidth="28455" windowHeight="11310" tabRatio="500"/>
  </x:bookViews>
  <x:sheets>
    <x:sheet name="1.(우선작성)개인(연차수당,퇴직금)" sheetId="1" r:id="rId4"/>
  </x:sheets>
  <x:definedNames>
    <x:definedName name="_xlnm._FilterDatabase" localSheetId="0" hidden="1">'1.(우선작성)개인(연차수당,퇴직금)'!$A$4:$S$4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<x:sst xmlns:r="http://schemas.openxmlformats.org/officeDocument/2006/relationships" xmlns:c="http://schemas.openxmlformats.org/drawingml/2006/chart" xmlns:x="http://schemas.openxmlformats.org/spreadsheetml/2006/main" count="154" uniqueCount="103">
  <x:si>
    <x:t>③ 퇴직금 신청액('25년 신규중간입사자는 제외 → '26년도 퇴직금 신청 시, 근무기간 합산하여 신청 요함)</x:t>
  </x:si>
  <x:si>
    <x:t xml:space="preserve"> 개인별 연차수당 및 퇴직금 예상소요액 내역 (우선작성)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</x:si>
  <x:si>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ff"/>
            <x:b val="1"/>
          </x:rPr>
        </mc:Fallback>
      </mc:AlternateContent>
      <x:t>잔여</x:t>
    </x:r>
    <x:r>
      <x:rPr>
        <x:rFont val="맑은 고딕"/>
        <x:sz val="10"/>
        <x:color rgb="ff000000"/>
        <x:b val="1"/>
      </x:rPr>
      <x:t xml:space="preserve"> 연차일수
(잔여일수-사용예정일)</x:t>
    </x:r>
  </x:si>
  <x:si>
    <x:t xml:space="preserve">2025회계연도
실적립 퇴직금     </x:t>
  </x:si>
  <x:si>
    <x:t>통상임금 산입범위 변경에 따른 인상분</x:t>
  </x:si>
  <x:si>
    <x:r>
      <x:t xml:space="preserve">  ※ 2025년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0000"/>
            <x:b val="1"/>
            <x:u/>
            <hs:underlineType val="1"/>
            <hs:underlineShape val="solid"/>
            <hs:underlineColor rgb="ffff0000"/>
          </x:rPr>
        </mc:Choice>
        <mc:Fallback>
          <x:rPr>
            <x:rFont val="맑은 고딕"/>
            <x:sz val="10"/>
            <x:color rgb="ffff0000"/>
            <x:b val="1"/>
            <x:u/>
          </x:rPr>
        </mc:Fallback>
      </mc:AlternateContent>
      <x:t>신규중간입사자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0000"/>
            <x:b val="1"/>
          </x:rPr>
        </mc:Fallback>
      </mc:AlternateContent>
      <x:t xml:space="preserve">는 근속연수 1년 미만으로 선택, 연차수당 칸에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0000"/>
            <x:b val="1"/>
            <x:u/>
            <hs:underlineType val="1"/>
            <hs:underlineShape val="solid"/>
            <hs:underlineColor rgb="ffff0000"/>
          </x:rPr>
        </mc:Choice>
        <mc:Fallback>
          <x:rPr>
            <x:rFont val="맑은 고딕"/>
            <x:sz val="10"/>
            <x:color rgb="ffff0000"/>
            <x:b val="1"/>
            <x:u/>
          </x:rPr>
        </mc:Fallback>
      </mc:AlternateContent>
      <x:t>월차 신청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ff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ff0000"/>
            <x:b val="1"/>
          </x:rPr>
        </mc:Fallback>
      </mc:AlternateContent>
      <x:t>(퇴직금은 2026년에 신청)</x:t>
    </x:r>
  </x:si>
  <x:si>
    <x:t xml:space="preserve">   ▶ 연차수당신청일수: 잔여연차일수(작성일 기준 잔여일-연차사용예정일) * 연차 사용을 예정할수 있는 날 만큼만 계산</x:t>
  </x:si>
  <x:si>
    <x:t xml:space="preserve">  ※ 실소요 퇴직금이 근속연수 대비 과다한 경우, 예산 상황에 따라 금액 조정하여 지급 예정</x:t>
  </x:si>
  <x:si>
    <x:t xml:space="preserve">  ※ 대체인력의 연차수당 발생 시 행 추가하여 작성(기존 대체인건비로 신청했던 학교는 제외)</x:t>
  </x:si>
  <x:si>
    <x:t xml:space="preserve">   ▶ 2024년도 신규중간입사자 또는 2025년도 중간퇴직자인 경우 :  1일 통상임금 x 30일 x 계속근로연수(○년+1년미만기간의 일수/365) -&gt; 비고란에 사유 기재요함</x:t>
  </x:si>
  <x:si>
    <x:t>반드시 정수로만 작성
(예) 16.5는 17로 작성)</x:t>
  </x:si>
  <x:si>
    <x:t xml:space="preserve">   ▶ 연차수당 신청액=(잔여 연차일수)x1일통상임금</x:t>
  </x:si>
  <x:si>
    <x:t>★ 예산이 과다 추계되지 않도록 신중을 기하여 작성</x:t>
  </x:si>
  <x:si>
    <x:t>특이사항 작성 (금액차이가 큰 사유: 2024년 중간입사자/ 2025년 중간퇴직자 등)</x:t>
  </x:si>
  <x:si>
    <x:t>성명</x:t>
  </x:si>
  <x:si>
    <x:t>급별</x:t>
  </x:si>
  <x:si>
    <x:t>직종</x:t>
  </x:si>
  <x:si>
    <x:t>조리사</x:t>
  </x:si>
  <x:si>
    <x:t>분담</x:t>
  </x:si>
  <x:si>
    <x:t>각종</x:t>
  </x:si>
  <x:si>
    <x:t>공립</x:t>
  </x:si>
  <x:si>
    <x:t>ㅌ</x:t>
  </x:si>
  <x:si>
    <x:t>DB</x:t>
  </x:si>
  <x:si>
    <x:t>안성</x:t>
  </x:si>
  <x:si>
    <x:t>교특</x:t>
  </x:si>
  <x:si>
    <x:t>설립별</x:t>
  </x:si>
  <x:si>
    <x:t>재원</x:t>
  </x:si>
  <x:si>
    <x:t>영양사</x:t>
  </x:si>
  <x:si>
    <x:t>DC</x:t>
  </x:si>
  <x:si>
    <x:t>학교명</x:t>
  </x:si>
  <x:si>
    <x:t>비고</x:t>
  </x:si>
  <x:si>
    <x:t>연차</x:t>
  </x:si>
  <x:si>
    <x:t>조리사
면허수당</x:t>
  </x:si>
  <x:si>
    <x:t>영양사
면허가산수당</x:t>
  </x:si>
  <x:si>
    <x:t>근속연수(필수)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</x:si>
  <x:si>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ff"/>
            <x:b val="1"/>
          </x:rPr>
        </mc:Fallback>
      </mc:AlternateContent>
      <x:t xml:space="preserve">잔여 </x:t>
    </x:r>
    <x:r>
      <x:rPr>
        <x:rFont val="맑은 고딕"/>
        <x:sz val="10"/>
        <x:color rgb="ff000000"/>
        <x:b val="1"/>
      </x:rPr>
      <x:t>연차수당(원)</x:t>
    </x:r>
  </x:si>
  <x:si>
    <x:t xml:space="preserve">근속수당      </x:t>
  </x:si>
  <x:si>
    <x:t>8년 이상
(만8년)</x:t>
  </x:si>
  <x:si>
    <x:t>5년 이상
(만5년)</x:t>
  </x:si>
  <x:si>
    <x:t>6년 이상
(만6년)</x:t>
  </x:si>
  <x:si>
    <x:t>영양사
(상시근무자)</x:t>
  </x:si>
  <x:si>
    <x:t>② 연차수당 계산방법</x:t>
  </x:si>
  <x:si>
    <x:t>7년 이상
(만7년)</x:t>
  </x:si>
  <x:si>
    <x:t>4년 이상
(만4년)</x:t>
  </x:si>
  <x:si>
    <x:t>1년 이상
(만1년)</x:t>
  </x:si>
  <x:si>
    <x:t>2년 이상
(만2년)</x:t>
  </x:si>
  <x:si>
    <x:t>3년 이상
(만3년)</x:t>
  </x:si>
  <x:si>
    <x:t>9년 이상
(만9년)</x:t>
  </x:si>
  <x:si>
    <x:t>조리(실무)사
(방학중 비근무자)</x:t>
  </x:si>
  <x:si>
    <x:t>통상임금
(일급)
[E]=[D]×8</x:t>
  </x:si>
  <x:si>
    <x:t>연차 입력
(예시, 10,15등)</x:t>
  </x:si>
  <x:si>
    <x:t>연가일수
(자동계산
서식변경금지)</x:t>
  </x:si>
  <x:si>
    <x:r>
      <x:t>영양사/조리사/조리실무사</x:t>
    </x:r>
    <x:r>
      <x:rPr>
        <x:rFont val="맑은 고딕"/>
        <x:sz val="10"/>
        <x:color rgb="ff000000"/>
      </x:rPr>
      <x:t xml:space="preserve">
중 택1</x:t>
    </x:r>
  </x:si>
  <x:si>
    <x:t xml:space="preserve">23년 이상
(만23년이상) </x:t>
  </x:si>
  <x:si>
    <x:t xml:space="preserve">   ※ 참고 : 퇴직금은 계속근로기간 1년에 대하여 30일분의 평균임금을 퇴직금으로 퇴직하는 직원에게 지급하는 제도임("학교행정업무 매뉴얼" 참조)</x:t>
  </x:si>
  <x:si>
    <x:t>통상임금
(월액)
[C]=[A]+[B]</x:t>
  </x:si>
  <x:si>
    <x:t>통상임금
(시간급)
[D]= [C]/209</x:t>
  </x:si>
  <x:si>
    <x:t>통상임금 산입수당 월액</x:t>
  </x:si>
  <x:si>
    <x:t>10년 이상
(만10년)</x:t>
  </x:si>
  <x:si>
    <x:t>(기준: 월, 단위: 원)</x:t>
  </x:si>
  <x:si>
    <x:t>12년 이상
(만12년)</x:t>
  </x:si>
  <x:si>
    <x:t>18년 이상
(만18년)</x:t>
  </x:si>
  <x:si>
    <x:t>1일 통상임금(원)
(A)</x:t>
  </x:si>
  <x:si>
    <x:t>기본급
(월급)
[A]</x:t>
  </x:si>
  <x:si>
    <x:t>13년 이상
(만13년)</x:t>
  </x:si>
  <x:si>
    <x:t>11년 이상
(만11년)</x:t>
  </x:si>
  <x:si>
    <x:t xml:space="preserve">   ▶ 퇴직금 신청액= 2025년 회계연도 실적립 퇴직금</x:t>
  </x:si>
  <x:si>
    <x:t xml:space="preserve">DC/DB 등 택1
(퇴직금 세외적립은 'DB'로 작성) </x:t>
  </x:si>
  <x:si>
    <x:r>
      <x:t xml:space="preserve">2025년 회계연도 
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ff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ff"/>
            <x:b val="1"/>
          </x:rPr>
        </mc:Fallback>
      </mc:AlternateContent>
      <x:t>실소요 퇴직금
(수기작성)</x:t>
    </x:r>
  </x:si>
  <x:si>
    <x:t>&lt;참고&gt;</x:t>
  </x:si>
  <x:si>
    <x:t>1년 미만</x:t>
  </x:si>
  <x:si>
    <x:t>소계
[B]</x:t>
  </x:si>
  <x:si>
    <x:t>정기상여금</x:t>
  </x:si>
  <x:si>
    <x:t>기타사항</x:t>
  </x:si>
  <x:si>
    <x:t>위험수당</x:t>
  </x:si>
  <x:si>
    <x:t>구분(필수)</x:t>
  </x:si>
  <x:si>
    <x:t>명정휴가비</x:t>
  </x:si>
  <x:si>
    <x:t>위험관리수당</x:t>
  </x:si>
  <x:si>
    <x:t>직무수당</x:t>
  </x:si>
  <x:si>
    <x:t>근속연수</x:t>
  </x:si>
  <x:si>
    <x:t>자동계산</x:t>
  </x:si>
  <x:si>
    <x:t>목록선택</x:t>
  </x:si>
  <x:si>
    <x:t>퇴직금 유형</x:t>
  </x:si>
  <x:si>
    <x:t>■ 근속수당</x:t>
  </x:si>
  <x:si>
    <x:t>교육지원청</x:t>
  </x:si>
  <x:si>
    <x:t>시,군명</x:t>
  </x:si>
  <x:si>
    <x:t>(단위: 원)</x:t>
  </x:si>
  <x:si>
    <x:t>수기작성</x:t>
  </x:si>
  <x:si>
    <x:t>근속수당</x:t>
  </x:si>
  <x:si>
    <x:t>조리실무사</x:t>
  </x:si>
  <x:si>
    <x:t>정액급식비</x:t>
  </x:si>
  <x:si>
    <x:t>3월 연차수당, 퇴직금 
소급지원액
(수기작성)</x:t>
  </x:si>
  <x:si>
    <x:t>① 통상임금 계산방법 예시( ※ 영양사: 12년차, 조리(실무)사 14년차 기준)</x:t>
  </x:si>
  <x:si>
    <x:r>
      <x:t xml:space="preserve">※  근무기간별 연차휴가 계산(자동계산)_시트(참고)연차휴가기준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b val="1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1"/>
            <x:color rgb="ff000000"/>
            <x:b val="1"/>
          </x:rPr>
        </mc:Fallback>
      </mc:AlternateContent>
      <x:t>참고</x:t>
    </x:r>
  </x:si>
  <x:si>
    <x:r>
      <x:t>□ 작성요령</x:t>
    </x:r>
    <x:r>
      <x:rPr>
        <x:rFont val="맑은 고딕"/>
        <x:sz val="10"/>
        <x:color rgb="ff000000"/>
        <x:b val="1"/>
      </x:rPr>
      <x:t>(작성대상: 영양사, 조리사, 조리실무사)</x:t>
    </x:r>
  </x:si>
  <x:si>
    <x:t xml:space="preserve">20년 이상
(만20년) </x:t>
  </x:si>
  <x:si>
    <x:t>15년 이상
(만15년)</x:t>
  </x:si>
  <x:si>
    <x:t xml:space="preserve">21년 이상
(만21년) </x:t>
  </x:si>
  <x:si>
    <x:t>19년 이상
(만19년)</x:t>
  </x:si>
  <x:si>
    <x:t>17년 이상
(만17년)</x:t>
  </x:si>
  <x:si>
    <x:t>14년 이상
(만14년)</x:t>
  </x:si>
  <x:si>
    <x:t>16년 이상
(만16년)</x:t>
  </x:si>
  <x:si>
    <x:t xml:space="preserve">22년 이상
(만22년) 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</x:si>
</x:sst>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3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8"/>
          <x:color rgb="ff000000"/>
          <x:b val="1"/>
        </x:font>
      </mc:Fallback>
    </mc:AlternateContent>
    <x:font>
      <x:name val="돋움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000000"/>
          <x:b val="1"/>
        </x:font>
      </mc:Fallback>
    </mc:AlternateContent>
    <x:font>
      <x:name val="맑은 고딕"/>
      <x:sz val="10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ff"/>
          <x:b val="1"/>
        </x:font>
      </mc:Fallback>
    </mc:AlternateContent>
    <x:font>
      <x:name val="맑은 고딕"/>
      <x:sz val="10"/>
      <x:color rgb="ffff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ff0000"/>
          <x:b val="1"/>
          <x:u/>
          <hs:underlineType val="1"/>
          <hs:underlineShape val="solid"/>
          <hs:underlineColor rgb="ffff0000"/>
        </x:font>
      </mc:Choice>
      <mc:Fallback>
        <x:font>
          <x:name val="맑은 고딕"/>
          <x:sz val="10"/>
          <x:color rgb="ffff0000"/>
          <x:b val="1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</x:fonts>
  <x:fills count="11"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  <x:fill>
      <x:patternFill patternType="solid">
        <x:fgColor rgb="ffdfe6f7"/>
        <x:bgColor indexed="64"/>
      </x:patternFill>
    </x:fill>
    <x:fill>
      <x:patternFill patternType="solid">
        <x:fgColor rgb="fffaf3db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dfeaf5"/>
        <x:bgColor indexed="64"/>
      </x:patternFill>
    </x:fill>
    <x:fill>
      <x:patternFill patternType="solid">
        <x:fgColor rgb="ffe5e5e5"/>
        <x:bgColor indexed="64"/>
      </x:patternFill>
    </x:fill>
    <x:fill>
      <x:patternFill patternType="solid">
        <x:fgColor rgb="ffe2f0d9"/>
        <x:bgColor indexed="64"/>
      </x:patternFill>
    </x:fill>
    <x:fill>
      <x:patternFill patternType="solid">
        <x:fgColor rgb="ffffc000"/>
        <x:bgColor indexed="64"/>
      </x:patternFill>
    </x:fill>
  </x:fills>
  <x:borders count="3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double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double">
        <x:color auto="1"/>
      </x:bottom>
    </x:border>
    <x:border>
      <x:left style="medium">
        <x:color auto="1"/>
      </x:left>
      <x:right style="medium">
        <x:color auto="1"/>
      </x:right>
      <x:top style="thin">
        <x:color auto="1"/>
      </x:top>
      <x:bottom style="double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double">
        <x:color auto="1"/>
      </x:top>
      <x:bottom style="thin">
        <x:color auto="1"/>
      </x:bottom>
    </x:border>
  </x:borders>
  <x:cellStyleXfs count="3">
    <x:xf numFmtId="0" fontId="0" fillId="0" borderId="0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0" fontId="0" fillId="0" borderId="0">
      <x:alignment horizontal="general" vertical="center"/>
    </x:xf>
  </x:cellStyleXfs>
  <x:cellXfs count="113">
    <x:xf numFmtId="0" fontId="0" fillId="0" borderId="0" xfId="0">
      <x:alignment horizontal="general" vertical="center"/>
    </x:xf>
    <x:xf numFmtId="0" fontId="6" fillId="0" borderId="0" xfId="2" applyNumberFormat="1" applyFont="1">
      <x:alignment horizontal="general" vertical="center"/>
    </x:xf>
    <x:xf numFmtId="0" fontId="6" fillId="0" borderId="0" xfId="2" applyNumberFormat="1" applyFont="1" applyFill="1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  <x:xf numFmtId="0" fontId="0" fillId="0" borderId="0" xfId="2" applyNumberFormat="1" applyFont="1">
      <x:alignment horizontal="general" vertical="center"/>
    </x:xf>
    <x:xf numFmtId="0" fontId="0" fillId="0" borderId="0" xfId="2" applyNumberFormat="1">
      <x:alignment horizontal="general" vertical="center"/>
    </x:xf>
    <x:xf numFmtId="0" fontId="7" fillId="0" borderId="0" xfId="2" applyNumberFormat="1" applyFont="1" applyFill="1" applyBorder="1" applyAlignment="1" applyProtection="1">
      <x:alignment horizontal="left" vertical="center"/>
      <x:protection locked="0"/>
    </x:xf>
    <x:xf numFmtId="0" fontId="8" fillId="0" borderId="0" xfId="2" applyNumberFormat="1" applyFont="1" applyFill="1" applyBorder="1" applyAlignment="1" applyProtection="1">
      <x:alignment horizontal="general" vertical="center"/>
      <x:protection locked="0"/>
    </x:xf>
    <x:xf numFmtId="0" fontId="9" fillId="0" borderId="0" xfId="2" applyNumberFormat="1" applyFont="1">
      <x:alignment horizontal="general" vertical="center"/>
    </x:xf>
    <x:xf numFmtId="0" fontId="6" fillId="0" borderId="0" xfId="2" applyNumberFormat="1" applyFont="1" applyFill="1" applyBorder="1" applyAlignment="1" applyProtection="1">
      <x:alignment horizontal="general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10" fillId="0" borderId="0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2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2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0" xfId="2" applyNumberFormat="1" applyFont="1" applyFill="1" applyBorder="1" applyAlignment="1" applyProtection="1" hs:applyExtension="1">
          <x:alignment horizontal="right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2" applyNumberFormat="1" applyFont="1" applyFill="1" applyBorder="1" applyAlignment="1" applyProtection="1">
          <x:alignment horizontal="right" vertical="center" wrapText="1"/>
          <x:protection locked="0"/>
        </x:xf>
      </mc:Fallback>
    </mc:AlternateContent>
    <x:xf numFmtId="0" fontId="6" fillId="0" borderId="0" xfId="2" applyNumberFormat="1" applyFont="1" applyFill="1" applyBorder="1" applyAlignment="1" applyProtection="1">
      <x:alignment horizontal="general" vertical="center" wrapText="1"/>
      <x:protection locked="0"/>
    </x:xf>
    <mc:AlternateContent xmlns:mc="http://schemas.openxmlformats.org/markup-compatibility/2006">
      <mc:Choice xmlns:hs="http://schemas.haansoft.com/office/spreadsheet/8.0" Requires="hs">
        <x:xf numFmtId="0" fontId="6" fillId="0" borderId="0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2" borderId="0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2" borderId="0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0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0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1" xfId="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1" xfId="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2" xfId="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2" xfId="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2" xfId="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2" xfId="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4" borderId="2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4" borderId="2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2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2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4" fillId="4" borderId="2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4" borderId="2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3" borderId="3" xfId="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3" borderId="3" xfId="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" xfId="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" xfId="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" xfId="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0" borderId="5" xfId="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0" borderId="5" xfId="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" xfId="2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" xfId="2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5" borderId="5" xfId="2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5" borderId="5" xfId="2" applyNumberFormat="1" applyFont="1" applyFill="1" applyBorder="1" applyAlignment="1" applyProtection="1">
          <x:alignment horizontal="center" vertical="center"/>
        </x:xf>
      </mc:Fallback>
    </mc:AlternateContent>
    <x:xf numFmtId="41" fontId="6" fillId="0" borderId="5" xfId="2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6" fillId="2" borderId="5" xfId="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2" borderId="5" xfId="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6" borderId="6" xfId="1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6" borderId="6" xfId="1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6" xfId="1" applyNumberFormat="1" applyFont="1" applyFill="1" applyBorder="1" applyAlignment="1" hs:applyExtension="1">
          <x:alignment horizontal="right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6" xfId="1" applyNumberFormat="1" applyFont="1" applyFill="1" applyBorder="1" applyAlignment="1">
          <x:alignment horizontal="right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" xfId="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2" applyNumberFormat="1" applyFont="1" applyFill="1" applyBorder="1" applyAlignment="1" applyProtection="1">
          <x:alignment horizontal="center" vertical="center"/>
          <x:protection locked="0"/>
        </x:xf>
      </mc:Fallback>
    </mc:AlternateContent>
    <x:xf numFmtId="41" fontId="6" fillId="0" borderId="0" xfId="2" applyNumberFormat="1" applyFont="1" applyFill="1" applyBorder="1" applyAlignment="1" applyProtection="1">
      <x:alignment horizontal="general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41" fontId="15" fillId="0" borderId="5" xfId="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5" xfId="2" applyNumberFormat="1" applyFont="1" applyFill="1" applyBorder="1" applyAlignment="1" applyProtection="1">
          <x:alignment horizontal="center" vertical="center"/>
          <x:protection locked="0"/>
        </x:xf>
      </mc:Fallback>
    </mc:AlternateContent>
    <x:xf numFmtId="0" fontId="11" fillId="0" borderId="0" xfId="2" applyNumberFormat="1" applyFont="1" applyFill="1" applyBorder="1" applyAlignment="1" applyProtection="1">
      <x:alignment horizontal="left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6" fillId="0" borderId="0" xfId="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0" borderId="0" xfId="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0" borderId="0" xfId="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2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2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0" xfId="2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0" xfId="2" applyNumberFormat="1" applyFont="1" applyFill="1" applyBorder="1" applyAlignment="1" applyProtection="1">
          <x:alignment horizontal="center" vertical="center"/>
        </x:xf>
      </mc:Fallback>
    </mc:AlternateContent>
    <x:xf numFmtId="41" fontId="6" fillId="0" borderId="0" xfId="2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6" fillId="0" borderId="0" xfId="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0" xfId="2" applyNumberFormat="1" applyFont="1" applyFill="1" applyBorder="1" applyAlignment="1" applyProtection="1">
          <x:alignment horizontal="center" vertical="center"/>
          <x:protection locked="0"/>
        </x:xf>
      </mc:Fallback>
    </mc:AlternateContent>
    <x:xf numFmtId="0" fontId="14" fillId="0" borderId="0" xfId="2" applyNumberFormat="1" applyFont="1" applyFill="1" applyBorder="1" applyAlignment="1" applyProtection="1">
      <x:alignment horizontal="left" vertical="center"/>
      <x:protection locked="0"/>
    </x:xf>
    <x:xf numFmtId="0" fontId="11" fillId="0" borderId="0" xfId="2" applyNumberFormat="1" applyFont="1" applyFill="1" applyBorder="1" applyAlignment="1" applyProtection="1">
      <x:alignment horizontal="general" vertical="center"/>
      <x:protection locked="0"/>
    </x:xf>
    <x:xf numFmtId="0" fontId="0" fillId="0" borderId="0" xfId="2" applyNumberFormat="1" applyFont="1" applyFill="1" applyBorder="1" applyAlignment="1" applyProtection="1">
      <x:alignment horizontal="general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12" fillId="0" borderId="0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0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2" applyNumberFormat="1" applyFont="1" applyFill="1" applyBorder="1" applyAlignment="1" applyProtection="1" hs:applyExtension="1">
          <x:alignment horizontal="right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2" applyNumberFormat="1" applyFont="1" applyFill="1" applyBorder="1" applyAlignment="1" applyProtection="1">
          <x:alignment horizontal="right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1" xfId="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" xfId="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2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2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8" xfId="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8" xfId="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9" xfId="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9" xfId="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10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0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4" xfId="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4" xfId="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5" xfId="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5" xfId="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11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1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12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2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13" xfId="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3" xfId="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14" xfId="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4" xfId="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15" xfId="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5" xfId="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1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15" xfId="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5" xfId="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16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6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17" xfId="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7" xfId="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18" xfId="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8" xfId="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9" xfId="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9" xfId="2" applyNumberFormat="1" applyFont="1" applyFill="1" applyBorder="1" applyAlignment="1" applyProtection="1">
          <x:alignment horizontal="center" vertical="center"/>
          <x:protection locked="0"/>
        </x:xf>
      </mc:Fallback>
    </mc:AlternateContent>
    <x:xf numFmtId="41" fontId="6" fillId="0" borderId="20" xfId="2" applyNumberFormat="1" applyFont="1" applyFill="1" applyBorder="1" applyAlignment="1" applyProtection="1">
      <x:alignment horizontal="general" vertical="center"/>
      <x:protection locked="0"/>
    </x:xf>
    <x:xf numFmtId="41" fontId="6" fillId="0" borderId="21" xfId="2" applyNumberFormat="1" applyFont="1" applyFill="1" applyBorder="1" applyAlignment="1" applyProtection="1">
      <x:alignment horizontal="general" vertical="center"/>
      <x:protection locked="0"/>
    </x:xf>
    <x:xf numFmtId="41" fontId="6" fillId="2" borderId="22" xfId="2" applyNumberFormat="1" applyFont="1" applyFill="1" applyBorder="1" applyAlignment="1" applyProtection="1">
      <x:alignment horizontal="general" vertical="center"/>
      <x:protection locked="0"/>
    </x:xf>
    <x:xf numFmtId="41" fontId="6" fillId="5" borderId="22" xfId="2" applyNumberFormat="1" applyFont="1" applyFill="1" applyBorder="1" applyAlignment="1" applyProtection="1">
      <x:alignment horizontal="general" vertical="center"/>
      <x:protection locked="0"/>
    </x:xf>
    <x:xf numFmtId="41" fontId="6" fillId="0" borderId="5" xfId="2" applyNumberFormat="1" applyFont="1" applyFill="1" applyBorder="1" applyAlignment="1" applyProtection="1">
      <x:alignment horizontal="general" vertical="center"/>
      <x:protection locked="0"/>
    </x:xf>
    <x:xf numFmtId="41" fontId="6" fillId="0" borderId="12" xfId="2" applyNumberFormat="1" applyFont="1" applyFill="1" applyBorder="1" applyAlignment="1" applyProtection="1">
      <x:alignment horizontal="general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6" fillId="0" borderId="23" xfId="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3" xfId="2" applyNumberFormat="1" applyFont="1" applyFill="1" applyBorder="1" applyAlignment="1" applyProtection="1">
          <x:alignment horizontal="center" vertical="center"/>
          <x:protection locked="0"/>
        </x:xf>
      </mc:Fallback>
    </mc:AlternateContent>
    <x:xf numFmtId="41" fontId="6" fillId="0" borderId="6" xfId="2" applyNumberFormat="1" applyFont="1" applyFill="1" applyBorder="1" applyAlignment="1" applyProtection="1">
      <x:alignment horizontal="general" vertical="center"/>
      <x:protection locked="0"/>
    </x:xf>
    <x:xf numFmtId="41" fontId="6" fillId="0" borderId="24" xfId="2" applyNumberFormat="1" applyFont="1" applyFill="1" applyBorder="1" applyAlignment="1" applyProtection="1">
      <x:alignment horizontal="general" vertical="center"/>
      <x:protection locked="0"/>
    </x:xf>
    <x:xf numFmtId="41" fontId="6" fillId="0" borderId="25" xfId="2" applyNumberFormat="1" applyFont="1" applyFill="1" applyBorder="1" applyAlignment="1" applyProtection="1">
      <x:alignment horizontal="general" vertical="center"/>
      <x:protection locked="0"/>
    </x:xf>
    <x:xf numFmtId="41" fontId="6" fillId="2" borderId="26" xfId="2" applyNumberFormat="1" applyFont="1" applyFill="1" applyBorder="1" applyAlignment="1" applyProtection="1">
      <x:alignment horizontal="general" vertical="center"/>
      <x:protection locked="0"/>
    </x:xf>
    <x:xf numFmtId="41" fontId="6" fillId="5" borderId="26" xfId="2" applyNumberFormat="1" applyFont="1" applyFill="1" applyBorder="1" applyAlignment="1" applyProtection="1">
      <x:alignment horizontal="general" vertical="center"/>
      <x:protection locked="0"/>
    </x:xf>
    <x:xf numFmtId="0" fontId="16" fillId="0" borderId="0" xfId="2" applyNumberFormat="1" applyFont="1" applyFill="1" applyBorder="1" applyAlignment="1" applyProtection="1">
      <x:alignment horizontal="general" vertical="center"/>
      <x:protection locked="0"/>
    </x:xf>
    <x:xf numFmtId="0" fontId="17" fillId="0" borderId="0" xfId="2" applyNumberFormat="1" applyFont="1" applyFill="1" applyBorder="1" applyAlignment="1" applyProtection="1">
      <x:alignment horizontal="general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17" fillId="0" borderId="0" xfId="2" applyNumberFormat="1" applyFont="1" applyFill="1" applyBorder="1" applyAlignment="1" applyProtection="1" hs:applyExtension="1">
          <x:alignment horizontal="right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0" xfId="2" applyNumberFormat="1" applyFont="1" applyFill="1" applyBorder="1" applyAlignment="1" applyProtection="1">
          <x:alignment horizontal="right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2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percent" hs:lineSpacing="130" hs:breakNonLatinWord="breakWord" hs:breakLatinWord="keepWord" hs:condense="0" hs:textAlignment="baseLine"/>
        </x:xf>
      </mc:Choice>
      <mc:Fallback>
        <x:xf numFmtId="0" fontId="16" fillId="2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6" fillId="0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percent" hs:lineSpacing="130" hs:breakNonLatinWord="breakWord" hs:breakLatinWord="keepWord" hs:condense="0" hs:textAlignment="baseLine"/>
        </x:xf>
      </mc:Choice>
      <mc:Fallback>
        <x:xf numFmtId="41" fontId="16" fillId="0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x:xf numFmtId="0" fontId="14" fillId="0" borderId="0" xfId="2" applyNumberFormat="1" applyFont="1" applyFill="1" applyBorder="1" applyAlignment="1" applyProtection="1">
      <x:alignment horizontal="general" vertical="center"/>
      <x:protection locked="0"/>
    </x:xf>
    <mc:AlternateContent xmlns:mc="http://schemas.openxmlformats.org/markup-compatibility/2006">
      <mc:Choice xmlns:hs="http://schemas.haansoft.com/office/spreadsheet/8.0" Requires="hs">
        <x:xf numFmtId="0" fontId="11" fillId="0" borderId="0" xfId="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0" xfId="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27" xfId="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27" xfId="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28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28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29" xfId="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29" xfId="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22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22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2" borderId="22" xfId="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2" borderId="22" xfId="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2" fillId="2" borderId="26" xfId="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2" borderId="26" xfId="2" applyNumberFormat="1" applyFont="1" applyFill="1" applyBorder="1" applyAlignment="1" applyProtection="1">
          <x:alignment horizontal="center" vertical="center"/>
          <x:protection locked="0"/>
        </x:xf>
      </mc:Fallback>
    </mc:AlternateContent>
    <x:xf numFmtId="0" fontId="18" fillId="0" borderId="0" xfId="2" applyNumberFormat="1" applyFont="1" applyFill="1" applyBorder="1" applyAlignment="1" applyProtection="1">
      <x:alignment horizontal="general" vertical="center"/>
      <x:protection locked="0"/>
    </x:xf>
    <x:xf numFmtId="0" fontId="19" fillId="0" borderId="0" xfId="2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2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2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6" fillId="7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percent" hs:lineSpacing="130" hs:breakNonLatinWord="breakWord" hs:breakLatinWord="keepWord" hs:condense="0" hs:textAlignment="baseLine"/>
        </x:xf>
      </mc:Choice>
      <mc:Fallback>
        <x:xf numFmtId="0" fontId="16" fillId="7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20" fillId="0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percent" hs:lineSpacing="130" hs:breakNonLatinWord="breakWord" hs:breakLatinWord="keepWord" hs:condense="0" hs:textAlignment="baseLine"/>
        </x:xf>
      </mc:Choice>
      <mc:Fallback>
        <x:xf numFmtId="3" fontId="20" fillId="0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5" xfId="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5" xfId="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8" borderId="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8" borderId="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9" borderId="15" xfId="2" applyNumberFormat="1" applyFont="1" applyFill="1" applyBorder="1" applyAlignment="1" applyProtection="1" hs:applyExtension="1">
          <x:alignment horizontal="center" vertical="center" wrapText="1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9" borderId="15" xfId="2" applyNumberFormat="1" applyFont="1" applyFill="1" applyBorder="1" applyAlignment="1" applyProtection="1">
          <x:alignment horizontal="center" vertical="center" wrapText="1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10" borderId="1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10" borderId="1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10" borderId="11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10" borderId="11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0" xfId="2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0" xfId="2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0" xfId="2" applyNumberFormat="1" applyFont="1" applyFill="1" applyBorder="1" applyAlignment="1" applyProtection="1" hs:applyExtension="1">
          <x:alignment horizontal="center" vertical="center"/>
          <x:protection locked="0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0" xfId="2" applyNumberFormat="1" applyFont="1" applyFill="1" applyBorder="1" applyAlignment="1" applyProtection="1">
          <x:alignment horizontal="center" vertical="center"/>
          <x:protection locked="0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0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0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2" applyNumberFormat="1" applyFont="1" applyFill="1" applyBorder="1" applyAlignment="1">
          <x:alignment horizontal="center" vertical="center"/>
        </x:xf>
      </mc:Fallback>
    </mc:AlternateContent>
    <x:xf numFmtId="0" fontId="0" fillId="0" borderId="0" xfId="2" applyNumberFormat="1" applyFont="1" applyBorder="1">
      <x:alignment horizontal="general" vertical="center"/>
    </x:xf>
    <x:xf numFmtId="0" fontId="11" fillId="0" borderId="0" xfId="2" applyNumberFormat="1" applyFont="1" applyFill="1" applyBorder="1" applyAlignment="1" applyProtection="1">
      <x:alignment horizontal="general" vertical="center" wrapText="1"/>
      <x:protection locked="0"/>
    </x:xf>
    <x:xf numFmtId="0" fontId="0" fillId="0" borderId="0" xfId="2" applyNumberFormat="1" applyFont="1" applyFill="1" applyBorder="1">
      <x:alignment horizontal="general" vertical="center"/>
    </x:xf>
    <x:xf numFmtId="0" fontId="0" fillId="0" borderId="0" xfId="2" applyNumberFormat="1" applyFill="1" applyBorder="1">
      <x:alignment horizontal="general" vertical="center"/>
    </x:xf>
  </x:cellXfs>
  <x:cellStyles count="3">
    <x:cellStyle name="표준" xfId="0" builtinId="0" iLevel="0"/>
    <x:cellStyle name="콤마[0]" xfId="1" builtinId="6" iLevel="0"/>
    <x:cellStyle name="Normal" xfId="2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tabColor rgb="ffffe7d8"/>
    <x:pageSetUpPr autoPageBreaks="1" fitToPage="1"/>
  </x:sheetPr>
  <x:dimension ref="A1:S76"/>
  <x:sheetViews>
    <x:sheetView tabSelected="1" view="pageBreakPreview" topLeftCell="A1" zoomScale="80" zoomScaleNormal="80" zoomScaleSheetLayoutView="80" workbookViewId="0">
      <x:selection activeCell="I19" activeCellId="0" sqref="I19:I19"/>
    </x:sheetView>
  </x:sheetViews>
  <x:sheetFormatPr defaultColWidth="9.00390625" defaultRowHeight="16.39999999999999857891"/>
  <x:cols>
    <x:col min="1" max="1" width="11.69921875" style="5" customWidth="1"/>
    <x:col min="2" max="2" width="12.75" style="5" customWidth="1"/>
    <x:col min="3" max="3" width="11.30859375" style="5" bestFit="1" customWidth="1"/>
    <x:col min="4" max="4" width="11.75" style="5" customWidth="1"/>
    <x:col min="5" max="5" width="11.625" style="5" customWidth="1"/>
    <x:col min="6" max="6" width="10.19921875" style="5" bestFit="1" customWidth="1"/>
    <x:col min="7" max="7" width="14" style="5" customWidth="1"/>
    <x:col min="8" max="8" width="13.375" style="5" customWidth="1"/>
    <x:col min="9" max="9" width="16.83984375" style="5" bestFit="1" customWidth="1"/>
    <x:col min="10" max="10" width="16.30078125" style="5" customWidth="1"/>
    <x:col min="11" max="11" width="19.1015625" style="5" customWidth="1"/>
    <x:col min="12" max="12" width="19.1015625" style="5" customWidth="1"/>
    <x:col min="13" max="13" width="19.1015625" style="5" customWidth="1"/>
    <x:col min="14" max="14" width="17.875" style="5" customWidth="1"/>
    <x:col min="15" max="15" width="19.1015625" style="5" customWidth="1"/>
    <x:col min="16" max="16" width="34.375" style="5" customWidth="1"/>
    <x:col min="17" max="17" width="11.328125" style="5" bestFit="1" customWidth="1"/>
  </x:cols>
  <x:sheetData>
    <x:row r="1" spans="1:18" ht="39" customHeight="1">
      <x:c r="A1" s="6" t="s">
        <x:v>1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7"/>
      <x:c r="R1" s="7"/>
    </x:row>
    <x:row r="2" spans="1:18" s="1" customFormat="1" ht="19.25">
      <x:c r="A2" s="8" t="s">
        <x:v>12</x:v>
      </x:c>
      <x:c r="B2" s="9"/>
      <x:c r="C2" s="9"/>
      <x:c r="D2" s="9"/>
      <x:c r="E2" s="9"/>
      <x:c r="F2" s="9"/>
      <x:c r="G2" s="9"/>
      <x:c r="H2" s="9"/>
      <x:c r="I2" s="9"/>
      <x:c r="K2" s="10"/>
      <x:c r="L2" s="11"/>
      <x:c r="M2" s="10"/>
      <x:c r="N2" s="11"/>
      <x:c r="O2" s="11"/>
      <x:c r="P2" s="12" t="s">
        <x:v>86</x:v>
      </x:c>
      <x:c r="Q2" s="9"/>
      <x:c r="R2" s="9"/>
    </x:row>
    <x:row r="3" spans="1:18" s="1" customFormat="1" ht="44.39999999999999857891" customHeight="1">
      <x:c r="A3" s="13"/>
      <x:c r="B3" s="13"/>
      <x:c r="C3" s="13"/>
      <x:c r="D3" s="13"/>
      <x:c r="E3" s="13"/>
      <x:c r="F3" s="9"/>
      <x:c r="G3" s="14" t="s">
        <x:v>87</x:v>
      </x:c>
      <x:c r="H3" s="14" t="s">
        <x:v>52</x:v>
      </x:c>
      <x:c r="I3" s="14" t="s">
        <x:v>81</x:v>
      </x:c>
      <x:c r="J3" s="15" t="s">
        <x:v>80</x:v>
      </x:c>
      <x:c r="K3" s="16" t="s">
        <x:v>10</x:v>
      </x:c>
      <x:c r="L3" s="15" t="s">
        <x:v>80</x:v>
      </x:c>
      <x:c r="M3" s="16" t="s">
        <x:v>67</x:v>
      </x:c>
      <x:c r="N3" s="14" t="s">
        <x:v>3</x:v>
      </x:c>
      <x:c r="O3" s="16" t="s">
        <x:v>4</x:v>
      </x:c>
      <x:c r="P3" s="14" t="s">
        <x:v>13</x:v>
      </x:c>
      <x:c r="Q3" s="9"/>
      <x:c r="R3" s="9"/>
    </x:row>
    <x:row r="4" spans="1:18" s="1" customFormat="1" ht="39.89999999999999857891">
      <x:c r="A4" s="17" t="s">
        <x:v>84</x:v>
      </x:c>
      <x:c r="B4" s="18" t="s">
        <x:v>85</x:v>
      </x:c>
      <x:c r="C4" s="18" t="s">
        <x:v>25</x:v>
      </x:c>
      <x:c r="D4" s="18" t="s">
        <x:v>15</x:v>
      </x:c>
      <x:c r="E4" s="18" t="s">
        <x:v>29</x:v>
      </x:c>
      <x:c r="F4" s="19" t="s">
        <x:v>14</x:v>
      </x:c>
      <x:c r="G4" s="19" t="s">
        <x:v>26</x:v>
      </x:c>
      <x:c r="H4" s="19" t="s">
        <x:v>75</x:v>
      </x:c>
      <x:c r="I4" s="20" t="s">
        <x:v>34</x:v>
      </x:c>
      <x:c r="J4" s="20" t="s">
        <x:v>62</x:v>
      </x:c>
      <x:c r="K4" s="21" t="s">
        <x:v>2</x:v>
      </x:c>
      <x:c r="L4" s="21" t="s">
        <x:v>35</x:v>
      </x:c>
      <x:c r="M4" s="20" t="s">
        <x:v>82</x:v>
      </x:c>
      <x:c r="N4" s="20" t="s">
        <x:v>68</x:v>
      </x:c>
      <x:c r="O4" s="22" t="s">
        <x:v>91</x:v>
      </x:c>
      <x:c r="P4" s="23" t="s">
        <x:v>73</x:v>
      </x:c>
      <x:c r="Q4" s="9"/>
      <x:c r="R4" s="9"/>
    </x:row>
    <x:row r="5" spans="1:18" s="1" customFormat="1" ht="27.75" customHeight="1">
      <x:c r="A5" s="24"/>
      <x:c r="B5" s="25" t="s">
        <x:v>23</x:v>
      </x:c>
      <x:c r="C5" s="26" t="s">
        <x:v>20</x:v>
      </x:c>
      <x:c r="D5" s="25" t="s">
        <x:v>19</x:v>
      </x:c>
      <x:c r="E5" s="25"/>
      <x:c r="F5" s="25"/>
      <x:c r="G5" s="27" t="s">
        <x:v>24</x:v>
      </x:c>
      <x:c r="H5" s="25" t="s">
        <x:v>17</x:v>
      </x:c>
      <x:c r="I5" s="28" t="s">
        <x:v>61</x:v>
      </x:c>
      <x:c r="J5" s="29">
        <x:f>((VLOOKUP(H5,$E$45:$F$47,2,0)+VLOOKUP(I5,$B$42:$C$65,2,0))/209)*8</x:f>
        <x:v>127724.4019138756</x:v>
      </x:c>
      <x:c r="K5" s="30">
        <x:v>20</x:v>
      </x:c>
      <x:c r="L5" s="31">
        <x:f>ROUNDUP(K5*J5,-1)</x:f>
        <x:v>2554490</x:v>
      </x:c>
      <x:c r="M5" s="25" t="s">
        <x:v>22</x:v>
      </x:c>
      <x:c r="N5" s="32">
        <x:v>5671200</x:v>
      </x:c>
      <x:c r="O5" s="33"/>
      <x:c r="P5" s="34" t="s">
        <x:v>21</x:v>
      </x:c>
      <x:c r="Q5" s="35"/>
      <x:c r="R5" s="9"/>
    </x:row>
    <x:row r="6" spans="1:18" s="1" customFormat="1" ht="27.75" customHeight="1">
      <x:c r="A6" s="24"/>
      <x:c r="B6" s="25" t="s">
        <x:v>23</x:v>
      </x:c>
      <x:c r="C6" s="26" t="s">
        <x:v>20</x:v>
      </x:c>
      <x:c r="D6" s="25" t="s">
        <x:v>19</x:v>
      </x:c>
      <x:c r="E6" s="25"/>
      <x:c r="F6" s="25"/>
      <x:c r="G6" s="27" t="s">
        <x:v>18</x:v>
      </x:c>
      <x:c r="H6" s="25" t="s">
        <x:v>89</x:v>
      </x:c>
      <x:c r="I6" s="28" t="s">
        <x:v>60</x:v>
      </x:c>
      <x:c r="J6" s="29">
        <x:f>((VLOOKUP(H6,$E$45:$F$47,2,0)+VLOOKUP(I6,$B$42:$C$65,2,0))/209)*8</x:f>
        <x:v>114583.73205741627</x:v>
      </x:c>
      <x:c r="K6" s="30">
        <x:v>7</x:v>
      </x:c>
      <x:c r="L6" s="31">
        <x:f t="shared" ref="L6:L7" si="0">ROUNDUP(K6*J6,-1)</x:f>
        <x:v>802090</x:v>
      </x:c>
      <x:c r="M6" s="25" t="s">
        <x:v>22</x:v>
      </x:c>
      <x:c r="N6" s="36">
        <x:v>0</x:v>
      </x:c>
      <x:c r="O6" s="36"/>
      <x:c r="P6" s="34"/>
      <x:c r="Q6" s="9"/>
      <x:c r="R6" s="9"/>
    </x:row>
    <x:row r="7" spans="1:18" s="1" customFormat="1" ht="27.75" customHeight="1">
      <x:c r="A7" s="24"/>
      <x:c r="B7" s="25" t="s">
        <x:v>23</x:v>
      </x:c>
      <x:c r="C7" s="26" t="s">
        <x:v>20</x:v>
      </x:c>
      <x:c r="D7" s="25" t="s">
        <x:v>19</x:v>
      </x:c>
      <x:c r="E7" s="25"/>
      <x:c r="F7" s="25"/>
      <x:c r="G7" s="27" t="s">
        <x:v>18</x:v>
      </x:c>
      <x:c r="H7" s="25" t="s">
        <x:v>89</x:v>
      </x:c>
      <x:c r="I7" s="28" t="s">
        <x:v>70</x:v>
      </x:c>
      <x:c r="J7" s="29">
        <x:f>((VLOOKUP(H7,$E$45:$F$47,2,0)+VLOOKUP(I7,$B$42:$C$65,2,0))/209)*8</x:f>
        <x:v>96210.526315789481</x:v>
      </x:c>
      <x:c r="K7" s="30">
        <x:v>10</x:v>
      </x:c>
      <x:c r="L7" s="31">
        <x:f t="shared" si="0"/>
        <x:v>962110</x:v>
      </x:c>
      <x:c r="M7" s="25" t="s">
        <x:v>22</x:v>
      </x:c>
      <x:c r="N7" s="32">
        <x:v>2914220</x:v>
      </x:c>
      <x:c r="O7" s="36"/>
      <x:c r="P7" s="34"/>
      <x:c r="Q7" s="9"/>
      <x:c r="R7" s="9"/>
    </x:row>
    <x:row r="8" spans="1:18" s="2" customFormat="1" ht="20.25" customHeight="1">
      <x:c r="A8" s="37" t="s">
        <x:v>7</x:v>
      </x:c>
      <x:c r="B8" s="38"/>
      <x:c r="C8" s="14"/>
      <x:c r="D8" s="38"/>
      <x:c r="E8" s="38"/>
      <x:c r="F8" s="38"/>
      <x:c r="G8" s="39"/>
      <x:c r="H8" s="38"/>
      <x:c r="I8" s="40"/>
      <x:c r="J8" s="41"/>
      <x:c r="K8" s="42"/>
      <x:c r="L8" s="43"/>
      <x:c r="M8" s="43"/>
      <x:c r="N8" s="38"/>
      <x:c r="O8" s="38"/>
      <x:c r="P8" s="38"/>
      <x:c r="Q8" s="9"/>
      <x:c r="R8" s="9"/>
    </x:row>
    <x:row r="9" spans="1:18" s="2" customFormat="1" ht="20.25" customHeight="1">
      <x:c r="A9" s="44" t="s">
        <x:v>5</x:v>
      </x:c>
      <x:c r="B9" s="38"/>
      <x:c r="C9" s="14"/>
      <x:c r="D9" s="38"/>
      <x:c r="E9" s="38"/>
      <x:c r="F9" s="38"/>
      <x:c r="G9" s="39"/>
      <x:c r="H9" s="38"/>
      <x:c r="I9" s="44"/>
      <x:c r="J9" s="41"/>
      <x:c r="K9" s="42"/>
      <x:c r="L9" s="43"/>
      <x:c r="M9" s="43"/>
      <x:c r="N9" s="38"/>
      <x:c r="O9" s="38"/>
      <x:c r="P9" s="38"/>
      <x:c r="Q9" s="9"/>
      <x:c r="R9" s="9"/>
    </x:row>
    <x:row r="10" spans="1:18" s="2" customFormat="1" ht="20.25" customHeight="1">
      <x:c r="A10" s="37" t="s">
        <x:v>8</x:v>
      </x:c>
      <x:c r="B10" s="38"/>
      <x:c r="C10" s="14"/>
      <x:c r="D10" s="38"/>
      <x:c r="E10" s="38"/>
      <x:c r="F10" s="38"/>
      <x:c r="G10" s="39"/>
      <x:c r="H10" s="38"/>
      <x:c r="I10" s="40"/>
      <x:c r="J10" s="41"/>
      <x:c r="K10" s="42"/>
      <x:c r="L10" s="43"/>
      <x:c r="M10" s="43"/>
      <x:c r="N10" s="38"/>
      <x:c r="O10" s="38"/>
      <x:c r="P10" s="38"/>
      <x:c r="Q10" s="9"/>
      <x:c r="R10" s="9"/>
    </x:row>
    <x:row r="11" spans="1:18" s="2" customFormat="1" ht="20.25" customHeight="1">
      <x:c r="A11" s="37"/>
      <x:c r="B11" s="38"/>
      <x:c r="C11" s="14"/>
      <x:c r="D11" s="38"/>
      <x:c r="E11" s="38"/>
      <x:c r="F11" s="38"/>
      <x:c r="G11" s="39"/>
      <x:c r="H11" s="38"/>
      <x:c r="I11" s="40"/>
      <x:c r="J11" s="41"/>
      <x:c r="K11" s="42"/>
      <x:c r="L11" s="43"/>
      <x:c r="M11" s="43"/>
      <x:c r="N11" s="38"/>
      <x:c r="O11" s="38"/>
      <x:c r="P11" s="38"/>
      <x:c r="Q11" s="9"/>
      <x:c r="R11" s="9"/>
    </x:row>
    <x:row r="12" spans="1:18" s="3" customFormat="1">
      <x:c r="A12" s="45" t="s">
        <x:v>94</x:v>
      </x:c>
      <x:c r="B12" s="46"/>
      <x:c r="C12" s="46"/>
      <x:c r="D12" s="46"/>
      <x:c r="E12" s="46"/>
      <x:c r="F12" s="46"/>
      <x:c r="G12" s="46"/>
      <x:c r="H12" s="46"/>
      <x:c r="I12" s="46"/>
      <x:c r="J12" s="46"/>
      <x:c r="K12" s="46"/>
      <x:c r="L12" s="46"/>
      <x:c r="M12" s="46"/>
      <x:c r="N12" s="46"/>
      <x:c r="O12" s="38"/>
      <x:c r="P12" s="38"/>
      <x:c r="Q12" s="46"/>
      <x:c r="R12" s="46"/>
    </x:row>
    <x:row r="13" spans="1:18" s="3" customFormat="1">
      <x:c r="A13" s="45" t="s">
        <x:v>92</x:v>
      </x:c>
      <x:c r="B13" s="46"/>
      <x:c r="C13" s="46"/>
      <x:c r="D13" s="46"/>
      <x:c r="E13" s="46"/>
      <x:c r="F13" s="46"/>
      <x:c r="G13" s="46"/>
      <x:c r="H13" s="46"/>
      <x:c r="I13" s="46"/>
      <x:c r="J13" s="47"/>
      <x:c r="K13" s="47"/>
      <x:c r="L13" s="47"/>
      <x:c r="M13" s="48"/>
      <x:c r="N13" s="48" t="s">
        <x:v>86</x:v>
      </x:c>
      <x:c r="O13" s="38"/>
      <x:c r="P13" s="38"/>
      <x:c r="Q13" s="46"/>
      <x:c r="R13" s="46"/>
    </x:row>
    <x:row r="14" spans="1:19" s="4" customFormat="1">
      <x:c r="A14" s="49" t="s">
        <x:v>16</x:v>
      </x:c>
      <x:c r="B14" s="50" t="s">
        <x:v>63</x:v>
      </x:c>
      <x:c r="C14" s="51" t="s">
        <x:v>57</x:v>
      </x:c>
      <x:c r="D14" s="52"/>
      <x:c r="E14" s="52"/>
      <x:c r="F14" s="52"/>
      <x:c r="G14" s="52"/>
      <x:c r="H14" s="52"/>
      <x:c r="I14" s="52"/>
      <x:c r="J14" s="52"/>
      <x:c r="K14" s="52"/>
      <x:c r="L14" s="53" t="s">
        <x:v>55</x:v>
      </x:c>
      <x:c r="M14" s="53" t="s">
        <x:v>56</x:v>
      </x:c>
      <x:c r="N14" s="53" t="s">
        <x:v>49</x:v>
      </x:c>
      <x:c r="O14" s="38"/>
      <x:c r="P14" s="38"/>
      <x:c r="Q14" s="46"/>
      <x:c r="R14" s="46"/>
      <x:c r="S14" s="46"/>
    </x:row>
    <x:row r="15" spans="1:19" s="4" customFormat="1">
      <x:c r="A15" s="54"/>
      <x:c r="B15" s="55"/>
      <x:c r="C15" s="55" t="s">
        <x:v>78</x:v>
      </x:c>
      <x:c r="D15" s="55"/>
      <x:c r="E15" s="55"/>
      <x:c r="F15" s="55"/>
      <x:c r="G15" s="55" t="s">
        <x:v>90</x:v>
      </x:c>
      <x:c r="H15" s="56" t="s">
        <x:v>36</x:v>
      </x:c>
      <x:c r="I15" s="55" t="s">
        <x:v>72</x:v>
      </x:c>
      <x:c r="J15" s="55" t="s">
        <x:v>76</x:v>
      </x:c>
      <x:c r="K15" s="57" t="s">
        <x:v>71</x:v>
      </x:c>
      <x:c r="L15" s="58"/>
      <x:c r="M15" s="58"/>
      <x:c r="N15" s="58"/>
      <x:c r="O15" s="38"/>
      <x:c r="P15" s="38"/>
      <x:c r="Q15" s="46"/>
      <x:c r="R15" s="46"/>
      <x:c r="S15" s="46"/>
    </x:row>
    <x:row r="16" spans="1:19" s="4" customFormat="1" ht="27.10000000000000142109">
      <x:c r="A16" s="59"/>
      <x:c r="B16" s="60"/>
      <x:c r="C16" s="61" t="s">
        <x:v>33</x:v>
      </x:c>
      <x:c r="D16" s="61" t="s">
        <x:v>77</x:v>
      </x:c>
      <x:c r="E16" s="61" t="s">
        <x:v>32</x:v>
      </x:c>
      <x:c r="F16" s="62" t="s">
        <x:v>74</x:v>
      </x:c>
      <x:c r="G16" s="60"/>
      <x:c r="H16" s="63"/>
      <x:c r="I16" s="60"/>
      <x:c r="J16" s="60"/>
      <x:c r="K16" s="64"/>
      <x:c r="L16" s="65"/>
      <x:c r="M16" s="65"/>
      <x:c r="N16" s="65"/>
      <x:c r="O16" s="38"/>
      <x:c r="P16" s="38"/>
      <x:c r="Q16" s="46"/>
      <x:c r="R16" s="46"/>
      <x:c r="S16" s="46"/>
    </x:row>
    <x:row r="17" spans="1:19" s="4" customFormat="1">
      <x:c r="A17" s="66" t="s">
        <x:v>27</x:v>
      </x:c>
      <x:c r="B17" s="67">
        <x:v>2266000</x:v>
      </x:c>
      <x:c r="C17" s="67">
        <x:f>B17*0.05</x:f>
        <x:v>113300</x:v>
      </x:c>
      <x:c r="D17" s="67">
        <x:v>50000</x:v>
      </x:c>
      <x:c r="E17" s="67">
        <x:v>0</x:v>
      </x:c>
      <x:c r="F17" s="67">
        <x:v>0</x:v>
      </x:c>
      <x:c r="G17" s="67">
        <x:v>160000</x:v>
      </x:c>
      <x:c r="H17" s="67">
        <x:f>A25</x:f>
        <x:v>480000</x:v>
      </x:c>
      <x:c r="I17" s="67">
        <x:v>83333.333333333328</x:v>
      </x:c>
      <x:c r="J17" s="67">
        <x:f>1850000/12</x:f>
        <x:v>154166.66666666666</x:v>
      </x:c>
      <x:c r="K17" s="68">
        <x:f>SUM(C17:J17)</x:f>
        <x:v>1040800</x:v>
      </x:c>
      <x:c r="L17" s="69">
        <x:f>B17+K17</x:f>
        <x:v>3306800</x:v>
      </x:c>
      <x:c r="M17" s="70">
        <x:f>(L17/209)</x:f>
        <x:v>15822.009569377991</x:v>
      </x:c>
      <x:c r="N17" s="70">
        <x:f>M17*8</x:f>
        <x:v>126576.07655502393</x:v>
      </x:c>
      <x:c r="O17" s="38"/>
      <x:c r="P17" s="38"/>
      <x:c r="Q17" s="46"/>
      <x:c r="R17" s="46"/>
      <x:c r="S17" s="46"/>
    </x:row>
    <x:row r="18" spans="1:19" s="4" customFormat="1">
      <x:c r="A18" s="24" t="s">
        <x:v>17</x:v>
      </x:c>
      <x:c r="B18" s="71">
        <x:v>2066000</x:v>
      </x:c>
      <x:c r="C18" s="71">
        <x:v>0</x:v>
      </x:c>
      <x:c r="D18" s="71">
        <x:v>0</x:v>
      </x:c>
      <x:c r="E18" s="71">
        <x:f>B18*0.05</x:f>
        <x:v>103300</x:v>
      </x:c>
      <x:c r="F18" s="71">
        <x:v>50000</x:v>
      </x:c>
      <x:c r="G18" s="71">
        <x:v>160000</x:v>
      </x:c>
      <x:c r="H18" s="67">
        <x:v>720000</x:v>
      </x:c>
      <x:c r="I18" s="67">
        <x:v>83333.333333333328</x:v>
      </x:c>
      <x:c r="J18" s="67">
        <x:f t="shared" ref="J18:J19" si="1">1850000/12</x:f>
        <x:v>154166.66666666666</x:v>
      </x:c>
      <x:c r="K18" s="72">
        <x:f>SUM(C18:J18)</x:f>
        <x:v>1270800</x:v>
      </x:c>
      <x:c r="L18" s="69">
        <x:f>B18+K18</x:f>
        <x:v>3336800</x:v>
      </x:c>
      <x:c r="M18" s="70">
        <x:f t="shared" ref="M18:M19" si="2">(L18/209)</x:f>
        <x:v>15965.55023923445</x:v>
      </x:c>
      <x:c r="N18" s="70">
        <x:f>M18*8</x:f>
        <x:v>127724.4019138756</x:v>
      </x:c>
      <x:c r="O18" s="38"/>
      <x:c r="P18" s="38"/>
      <x:c r="Q18" s="46"/>
      <x:c r="R18" s="46"/>
      <x:c r="S18" s="46"/>
    </x:row>
    <x:row r="19" spans="1:19" s="4" customFormat="1">
      <x:c r="A19" s="73" t="s">
        <x:v>89</x:v>
      </x:c>
      <x:c r="B19" s="74">
        <x:v>2066000</x:v>
      </x:c>
      <x:c r="C19" s="74">
        <x:v>0</x:v>
      </x:c>
      <x:c r="D19" s="74">
        <x:v>0</x:v>
      </x:c>
      <x:c r="E19" s="74">
        <x:v>0</x:v>
      </x:c>
      <x:c r="F19" s="74">
        <x:v>50000</x:v>
      </x:c>
      <x:c r="G19" s="74">
        <x:v>160000</x:v>
      </x:c>
      <x:c r="H19" s="74">
        <x:v>0</x:v>
      </x:c>
      <x:c r="I19" s="75">
        <x:v>83333.333333333328</x:v>
      </x:c>
      <x:c r="J19" s="75">
        <x:f t="shared" si="1"/>
        <x:v>154166.66666666666</x:v>
      </x:c>
      <x:c r="K19" s="76">
        <x:f>SUM(C19:J19)</x:f>
        <x:v>447500</x:v>
      </x:c>
      <x:c r="L19" s="77">
        <x:f>B19+K19</x:f>
        <x:v>2513500</x:v>
      </x:c>
      <x:c r="M19" s="78">
        <x:f t="shared" si="2"/>
        <x:v>12026.315789473685</x:v>
      </x:c>
      <x:c r="N19" s="78">
        <x:f>M19*8</x:f>
        <x:v>96210.526315789481</x:v>
      </x:c>
      <x:c r="O19" s="38"/>
      <x:c r="P19" s="38"/>
      <x:c r="Q19" s="46"/>
      <x:c r="R19" s="46"/>
      <x:c r="S19" s="46"/>
    </x:row>
    <x:row r="20" spans="1:18" s="4" customFormat="1" ht="10.5" customHeight="1">
      <x:c r="A20" s="45"/>
      <x:c r="B20" s="46"/>
      <x:c r="C20" s="46"/>
      <x:c r="D20" s="46"/>
      <x:c r="E20" s="46"/>
      <x:c r="F20" s="46"/>
      <x:c r="G20" s="46"/>
      <x:c r="H20" s="46"/>
      <x:c r="I20" s="46"/>
      <x:c r="J20" s="46"/>
      <x:c r="K20" s="46"/>
      <x:c r="L20" s="46"/>
      <x:c r="M20" s="46"/>
      <x:c r="N20" s="46"/>
      <x:c r="O20" s="38"/>
      <x:c r="P20" s="38"/>
      <x:c r="Q20" s="46"/>
      <x:c r="R20" s="46"/>
    </x:row>
    <x:row r="21" spans="1:18" s="4" customFormat="1">
      <x:c r="A21" s="79" t="s">
        <x:v>83</x:v>
      </x:c>
      <x:c r="B21" s="80"/>
      <x:c r="C21" s="80"/>
      <x:c r="D21" s="80"/>
      <x:c r="E21" s="80"/>
      <x:c r="F21" s="80"/>
      <x:c r="G21" s="80"/>
      <x:c r="H21" s="80"/>
      <x:c r="I21" s="80"/>
      <x:c r="J21" s="80"/>
      <x:c r="K21" s="81" t="s">
        <x:v>59</x:v>
      </x:c>
      <x:c r="M21" s="46"/>
      <x:c r="N21" s="46"/>
      <x:c r="O21" s="38"/>
      <x:c r="P21" s="38"/>
      <x:c r="Q21" s="46"/>
      <x:c r="R21" s="46"/>
    </x:row>
    <x:row r="22" spans="1:17" s="4" customFormat="1" ht="26.5">
      <x:c r="A22" s="82" t="s">
        <x:v>44</x:v>
      </x:c>
      <x:c r="B22" s="82" t="s">
        <x:v>45</x:v>
      </x:c>
      <x:c r="C22" s="82" t="s">
        <x:v>46</x:v>
      </x:c>
      <x:c r="D22" s="82" t="s">
        <x:v>43</x:v>
      </x:c>
      <x:c r="E22" s="82" t="s">
        <x:v>38</x:v>
      </x:c>
      <x:c r="F22" s="82" t="s">
        <x:v>39</x:v>
      </x:c>
      <x:c r="G22" s="82" t="s">
        <x:v>42</x:v>
      </x:c>
      <x:c r="H22" s="82" t="s">
        <x:v>37</x:v>
      </x:c>
      <x:c r="I22" s="82" t="s">
        <x:v>47</x:v>
      </x:c>
      <x:c r="J22" s="82" t="s">
        <x:v>58</x:v>
      </x:c>
      <x:c r="K22" s="82" t="s">
        <x:v>65</x:v>
      </x:c>
      <x:c r="L22" s="46"/>
      <x:c r="M22" s="46"/>
      <x:c r="N22" s="46"/>
      <x:c r="O22" s="38"/>
      <x:c r="P22" s="38"/>
      <x:c r="Q22" s="46"/>
    </x:row>
    <x:row r="23" spans="1:17" s="4" customFormat="1" ht="21" customHeight="1">
      <x:c r="A23" s="83">
        <x:v>40000</x:v>
      </x:c>
      <x:c r="B23" s="83">
        <x:f>$A$23*2</x:f>
        <x:v>80000</x:v>
      </x:c>
      <x:c r="C23" s="83">
        <x:f>$A$23*3</x:f>
        <x:v>120000</x:v>
      </x:c>
      <x:c r="D23" s="83">
        <x:f>$A$23*4</x:f>
        <x:v>160000</x:v>
      </x:c>
      <x:c r="E23" s="83">
        <x:f>$A$23*5</x:f>
        <x:v>200000</x:v>
      </x:c>
      <x:c r="F23" s="83">
        <x:f>$A$23*6</x:f>
        <x:v>240000</x:v>
      </x:c>
      <x:c r="G23" s="83">
        <x:f>$A$23*7</x:f>
        <x:v>280000</x:v>
      </x:c>
      <x:c r="H23" s="83">
        <x:f>$A$23*8</x:f>
        <x:v>320000</x:v>
      </x:c>
      <x:c r="I23" s="83">
        <x:f>$A$23*9</x:f>
        <x:v>360000</x:v>
      </x:c>
      <x:c r="J23" s="83">
        <x:f>$A$23*10</x:f>
        <x:v>400000</x:v>
      </x:c>
      <x:c r="K23" s="83">
        <x:f>$A$23*11</x:f>
        <x:v>440000</x:v>
      </x:c>
      <x:c r="L23" s="46"/>
      <x:c r="M23" s="46"/>
      <x:c r="N23" s="46">
        <x:v>2914100</x:v>
      </x:c>
      <x:c r="O23" s="38"/>
      <x:c r="P23" s="38"/>
      <x:c r="Q23" s="46"/>
    </x:row>
    <x:row r="24" spans="1:17" s="4" customFormat="1" ht="26.5">
      <x:c r="A24" s="82" t="s">
        <x:v>60</x:v>
      </x:c>
      <x:c r="B24" s="82" t="s">
        <x:v>64</x:v>
      </x:c>
      <x:c r="C24" s="82" t="s">
        <x:v>100</x:v>
      </x:c>
      <x:c r="D24" s="82" t="s">
        <x:v>96</x:v>
      </x:c>
      <x:c r="E24" s="82" t="s">
        <x:v>101</x:v>
      </x:c>
      <x:c r="F24" s="82" t="s">
        <x:v>99</x:v>
      </x:c>
      <x:c r="G24" s="82" t="s">
        <x:v>61</x:v>
      </x:c>
      <x:c r="H24" s="82" t="s">
        <x:v>98</x:v>
      </x:c>
      <x:c r="I24" s="82" t="s">
        <x:v>95</x:v>
      </x:c>
      <x:c r="J24" s="82" t="s">
        <x:v>97</x:v>
      </x:c>
      <x:c r="K24" s="82" t="s">
        <x:v>102</x:v>
      </x:c>
      <x:c r="L24" s="82" t="s">
        <x:v>53</x:v>
      </x:c>
      <x:c r="M24" s="46"/>
      <x:c r="N24" s="46"/>
      <x:c r="O24" s="46"/>
      <x:c r="P24" s="46"/>
      <x:c r="Q24" s="46"/>
    </x:row>
    <x:row r="25" spans="1:17" s="4" customFormat="1" ht="24.75" customHeight="1">
      <x:c r="A25" s="83">
        <x:f>A23*12</x:f>
        <x:v>480000</x:v>
      </x:c>
      <x:c r="B25" s="83">
        <x:f>A25+40000</x:f>
        <x:v>520000</x:v>
      </x:c>
      <x:c r="C25" s="83">
        <x:f t="shared" ref="C25:L25" si="3">B25+40000</x:f>
        <x:v>560000</x:v>
      </x:c>
      <x:c r="D25" s="83">
        <x:f t="shared" si="3"/>
        <x:v>600000</x:v>
      </x:c>
      <x:c r="E25" s="83">
        <x:f t="shared" si="3"/>
        <x:v>640000</x:v>
      </x:c>
      <x:c r="F25" s="83">
        <x:f t="shared" si="3"/>
        <x:v>680000</x:v>
      </x:c>
      <x:c r="G25" s="83">
        <x:f t="shared" si="3"/>
        <x:v>720000</x:v>
      </x:c>
      <x:c r="H25" s="83">
        <x:f t="shared" si="3"/>
        <x:v>760000</x:v>
      </x:c>
      <x:c r="I25" s="83">
        <x:f t="shared" si="3"/>
        <x:v>800000</x:v>
      </x:c>
      <x:c r="J25" s="83">
        <x:f t="shared" si="3"/>
        <x:v>840000</x:v>
      </x:c>
      <x:c r="K25" s="83">
        <x:f t="shared" si="3"/>
        <x:v>880000</x:v>
      </x:c>
      <x:c r="L25" s="83">
        <x:f t="shared" si="3"/>
        <x:v>920000</x:v>
      </x:c>
      <x:c r="M25" s="46"/>
      <x:c r="N25" s="46"/>
      <x:c r="O25" s="46"/>
      <x:c r="P25" s="46"/>
      <x:c r="Q25" s="46"/>
    </x:row>
    <x:row r="26" spans="1:18" s="4" customFormat="1" ht="9" customHeight="1">
      <x:c r="A26" s="45"/>
      <x:c r="B26" s="46"/>
      <x:c r="C26" s="46"/>
      <x:c r="D26" s="46"/>
      <x:c r="E26" s="46"/>
      <x:c r="F26" s="46"/>
      <x:c r="G26" s="46"/>
      <x:c r="H26" s="46"/>
      <x:c r="I26" s="46"/>
      <x:c r="J26" s="46"/>
      <x:c r="K26" s="46"/>
      <x:c r="L26" s="46"/>
      <x:c r="M26" s="46"/>
      <x:c r="N26" s="46"/>
      <x:c r="O26" s="46"/>
      <x:c r="P26" s="46"/>
      <x:c r="Q26" s="46"/>
      <x:c r="R26" s="46"/>
    </x:row>
    <x:row r="27" spans="1:18" s="3" customFormat="1" ht="18" customHeight="1">
      <x:c r="A27" s="45" t="s">
        <x:v>41</x:v>
      </x:c>
      <x:c r="B27" s="46"/>
      <x:c r="C27" s="46"/>
      <x:c r="D27" s="46"/>
      <x:c r="E27" s="46"/>
      <x:c r="F27" s="46"/>
      <x:c r="G27" s="46"/>
      <x:c r="H27" s="46"/>
      <x:c r="I27" s="46"/>
      <x:c r="J27" s="46"/>
      <x:c r="K27" s="46"/>
      <x:c r="L27" s="46"/>
      <x:c r="M27" s="46"/>
      <x:c r="N27" s="46"/>
      <x:c r="O27" s="46"/>
      <x:c r="P27" s="46"/>
      <x:c r="Q27" s="46"/>
      <x:c r="R27" s="46"/>
    </x:row>
    <x:row r="28" spans="1:18" s="3" customFormat="1" ht="18" customHeight="1">
      <x:c r="A28" s="84" t="s">
        <x:v>6</x:v>
      </x:c>
      <x:c r="B28" s="46"/>
      <x:c r="C28" s="46"/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  <x:c r="N28" s="46"/>
      <x:c r="O28" s="46"/>
      <x:c r="P28" s="46"/>
      <x:c r="Q28" s="46"/>
      <x:c r="R28" s="46"/>
    </x:row>
    <x:row r="29" spans="1:18" s="3" customFormat="1" ht="18" customHeight="1">
      <x:c r="A29" s="9" t="s">
        <x:v>11</x:v>
      </x:c>
      <x:c r="B29" s="46"/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  <x:c r="N29" s="46"/>
      <x:c r="O29" s="46"/>
      <x:c r="P29" s="46"/>
      <x:c r="Q29" s="46"/>
      <x:c r="R29" s="46"/>
    </x:row>
    <x:row r="30" spans="1:18" s="4" customFormat="1" ht="18" customHeight="1">
      <x:c r="A30" s="45" t="s">
        <x:v>93</x:v>
      </x:c>
      <x:c r="B30" s="46"/>
      <x:c r="C30" s="46"/>
      <x:c r="D30" s="46"/>
      <x:c r="E30" s="10"/>
      <x:c r="F30" s="46"/>
      <x:c r="G30" s="46"/>
      <x:c r="H30" s="46"/>
      <x:c r="I30" s="46"/>
      <x:c r="J30" s="46"/>
      <x:c r="K30" s="46"/>
      <x:c r="L30" s="46"/>
      <x:c r="M30" s="46"/>
      <x:c r="N30" s="46"/>
      <x:c r="O30" s="46"/>
      <x:c r="P30" s="46"/>
      <x:c r="Q30" s="46"/>
      <x:c r="R30" s="46"/>
    </x:row>
    <x:row r="31" spans="1:18" s="4" customFormat="1" ht="25.5" customHeight="1">
      <x:c r="A31" s="85"/>
      <x:c r="B31" s="85" t="s">
        <x:v>69</x:v>
      </x:c>
      <x:c r="C31" s="86" t="s">
        <x:v>16</x:v>
      </x:c>
      <x:c r="D31" s="87" t="s">
        <x:v>50</x:v>
      </x:c>
      <x:c r="E31" s="53" t="s">
        <x:v>51</x:v>
      </x:c>
      <x:c r="F31" s="46"/>
      <x:c r="G31" s="46"/>
      <x:c r="H31" s="46"/>
      <x:c r="I31" s="46"/>
      <x:c r="J31" s="46"/>
      <x:c r="K31" s="46"/>
      <x:c r="L31" s="46"/>
      <x:c r="M31" s="46"/>
      <x:c r="N31" s="46"/>
      <x:c r="O31" s="46"/>
      <x:c r="P31" s="46"/>
      <x:c r="Q31" s="46"/>
      <x:c r="R31" s="46"/>
    </x:row>
    <x:row r="32" spans="1:18" s="4" customFormat="1" ht="25.5" customHeight="1">
      <x:c r="A32" s="85"/>
      <x:c r="B32" s="85"/>
      <x:c r="C32" s="88"/>
      <x:c r="D32" s="89"/>
      <x:c r="E32" s="58"/>
      <x:c r="F32" s="46"/>
      <x:c r="G32" s="46"/>
      <x:c r="H32" s="46"/>
      <x:c r="I32" s="46"/>
      <x:c r="J32" s="46"/>
      <x:c r="K32" s="46"/>
      <x:c r="L32" s="46"/>
      <x:c r="M32" s="46"/>
      <x:c r="N32" s="46"/>
      <x:c r="O32" s="46"/>
      <x:c r="P32" s="46"/>
      <x:c r="Q32" s="46"/>
      <x:c r="R32" s="46"/>
    </x:row>
    <x:row r="33" spans="1:18" s="4" customFormat="1" ht="18" customHeight="1">
      <x:c r="A33" s="38"/>
      <x:c r="B33" s="38"/>
      <x:c r="C33" s="66" t="s">
        <x:v>27</x:v>
      </x:c>
      <x:c r="D33" s="66">
        <x:v>16</x:v>
      </x:c>
      <x:c r="E33" s="90">
        <x:f>VLOOKUP(D33,$I$44:$L$73,2,0)</x:f>
        <x:v>22</x:v>
      </x:c>
      <x:c r="F33" s="46"/>
      <x:c r="G33" s="46"/>
      <x:c r="H33" s="46"/>
      <x:c r="I33" s="46"/>
      <x:c r="J33" s="46"/>
      <x:c r="K33" s="46"/>
      <x:c r="L33" s="46"/>
      <x:c r="M33" s="46"/>
      <x:c r="N33" s="46"/>
      <x:c r="O33" s="46"/>
      <x:c r="P33" s="46"/>
      <x:c r="Q33" s="46"/>
      <x:c r="R33" s="46"/>
    </x:row>
    <x:row r="34" spans="1:18" s="4" customFormat="1" ht="18" customHeight="1">
      <x:c r="A34" s="38"/>
      <x:c r="B34" s="38"/>
      <x:c r="C34" s="24" t="s">
        <x:v>17</x:v>
      </x:c>
      <x:c r="D34" s="24">
        <x:v>30</x:v>
      </x:c>
      <x:c r="E34" s="90">
        <x:f>VLOOKUP(D34,$I$44:$L$73,3,0)</x:f>
        <x:v>25</x:v>
      </x:c>
      <x:c r="F34" s="46"/>
      <x:c r="G34" s="46"/>
      <x:c r="H34" s="46"/>
      <x:c r="I34" s="46"/>
      <x:c r="J34" s="46"/>
      <x:c r="K34" s="46"/>
      <x:c r="L34" s="46"/>
      <x:c r="M34" s="46"/>
      <x:c r="N34" s="46"/>
      <x:c r="O34" s="46"/>
      <x:c r="P34" s="46"/>
      <x:c r="Q34" s="46"/>
      <x:c r="R34" s="46"/>
    </x:row>
    <x:row r="35" spans="1:18" s="4" customFormat="1" ht="18" customHeight="1">
      <x:c r="A35" s="38"/>
      <x:c r="B35" s="38"/>
      <x:c r="C35" s="73" t="s">
        <x:v>89</x:v>
      </x:c>
      <x:c r="D35" s="73">
        <x:v>6</x:v>
      </x:c>
      <x:c r="E35" s="91">
        <x:f>VLOOKUP(D35,$I$44:$L$73,3,0)</x:f>
        <x:v>14</x:v>
      </x:c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  <x:c r="R35" s="46"/>
    </x:row>
    <x:row r="36" spans="1:18" s="4" customFormat="1" ht="18" customHeight="1">
      <x:c r="A36" s="92" t="s">
        <x:v>0</x:v>
      </x:c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  <x:c r="N36" s="46"/>
      <x:c r="O36" s="46"/>
      <x:c r="P36" s="46"/>
      <x:c r="Q36" s="46"/>
      <x:c r="R36" s="46"/>
    </x:row>
    <x:row r="37" spans="1:18" s="4" customFormat="1" ht="17.25" customHeight="1">
      <x:c r="A37" s="9" t="s">
        <x:v>66</x:v>
      </x:c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  <x:c r="N37" s="46"/>
      <x:c r="O37" s="46"/>
      <x:c r="P37" s="46"/>
      <x:c r="Q37" s="46"/>
      <x:c r="R37" s="46"/>
    </x:row>
    <x:row r="38" spans="1:18" s="4" customFormat="1" ht="17.25" customHeight="1">
      <x:c r="A38" s="9" t="s">
        <x:v>9</x:v>
      </x:c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  <x:c r="N38" s="46"/>
      <x:c r="O38" s="46"/>
      <x:c r="P38" s="46"/>
      <x:c r="Q38" s="46"/>
      <x:c r="R38" s="46"/>
    </x:row>
    <x:row r="39" spans="1:18" s="4" customFormat="1" ht="17.25" customHeight="1">
      <x:c r="A39" s="9" t="s">
        <x:v>54</x:v>
      </x:c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  <x:c r="N39" s="46"/>
      <x:c r="O39" s="46"/>
      <x:c r="P39" s="46"/>
      <x:c r="Q39" s="46"/>
      <x:c r="R39" s="46"/>
    </x:row>
    <x:row r="40" spans="1:6" s="4" customFormat="1">
      <x:c r="A40" s="84"/>
      <x:c r="B40" s="93"/>
      <x:c r="C40" s="93"/>
      <x:c r="D40" s="93"/>
      <x:c r="E40" s="93"/>
      <x:c r="F40" s="93"/>
    </x:row>
    <x:row r="41" spans="1:17" s="3" customFormat="1" hidden="1">
      <x:c r="A41" s="4"/>
      <x:c r="B41" s="94" t="s">
        <x:v>79</x:v>
      </x:c>
      <x:c r="C41" s="94" t="s">
        <x:v>88</x:v>
      </x:c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</x:row>
    <x:row r="42" spans="1:17" s="3" customFormat="1" ht="25.19999999999999928946" hidden="1" customHeight="1">
      <x:c r="A42" s="4">
        <x:v>0</x:v>
      </x:c>
      <x:c r="B42" s="95" t="s">
        <x:v>70</x:v>
      </x:c>
      <x:c r="C42" s="96">
        <x:v>0</x:v>
      </x:c>
      <x:c r="D42" s="4"/>
      <x:c r="E42" s="97" t="s">
        <x:v>16</x:v>
      </x:c>
      <x:c r="F42" s="98" t="s">
        <x:v>63</x:v>
      </x:c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</x:row>
    <x:row r="43" spans="1:17" s="3" customFormat="1" ht="35.60000000000000142109" hidden="1">
      <x:c r="A43" s="4">
        <x:v>1</x:v>
      </x:c>
      <x:c r="B43" s="95" t="s">
        <x:v>44</x:v>
      </x:c>
      <x:c r="C43" s="96">
        <x:v>40000</x:v>
      </x:c>
      <x:c r="D43" s="4"/>
      <x:c r="E43" s="97"/>
      <x:c r="F43" s="97"/>
      <x:c r="G43" s="4"/>
      <x:c r="H43" s="99" t="s">
        <x:v>82</x:v>
      </x:c>
      <x:c r="I43" s="100" t="s">
        <x:v>31</x:v>
      </x:c>
      <x:c r="J43" s="101" t="s">
        <x:v>40</x:v>
      </x:c>
      <x:c r="K43" s="101" t="s">
        <x:v>48</x:v>
      </x:c>
      <x:c r="L43" s="101" t="s">
        <x:v>30</x:v>
      </x:c>
      <x:c r="M43" s="102"/>
      <x:c r="N43" s="4"/>
      <x:c r="O43" s="4"/>
      <x:c r="P43" s="4"/>
      <x:c r="Q43" s="4"/>
    </x:row>
    <x:row r="44" spans="1:17" s="3" customFormat="1" ht="26.5" hidden="1">
      <x:c r="A44" s="4">
        <x:v>2</x:v>
      </x:c>
      <x:c r="B44" s="95" t="s">
        <x:v>45</x:v>
      </x:c>
      <x:c r="C44" s="96">
        <x:f>$C$43*A44</x:f>
        <x:v>80000</x:v>
      </x:c>
      <x:c r="D44" s="4"/>
      <x:c r="E44" s="97"/>
      <x:c r="F44" s="97"/>
      <x:c r="G44" s="4"/>
      <x:c r="H44" s="103" t="s">
        <x:v>22</x:v>
      </x:c>
      <x:c r="I44" s="104">
        <x:v>1</x:v>
      </x:c>
      <x:c r="J44" s="105">
        <x:v>15</x:v>
      </x:c>
      <x:c r="K44" s="105">
        <x:v>12</x:v>
      </x:c>
      <x:c r="L44" s="105"/>
      <x:c r="M44" s="106"/>
      <x:c r="N44" s="4"/>
      <x:c r="O44" s="4"/>
      <x:c r="P44" s="4"/>
      <x:c r="Q44" s="4"/>
    </x:row>
    <x:row r="45" spans="1:17" s="3" customFormat="1" ht="26.5" hidden="1">
      <x:c r="A45" s="4">
        <x:v>3</x:v>
      </x:c>
      <x:c r="B45" s="95" t="s">
        <x:v>46</x:v>
      </x:c>
      <x:c r="C45" s="96">
        <x:f t="shared" ref="C45:C65" si="4">$C$43*A45</x:f>
        <x:v>120000</x:v>
      </x:c>
      <x:c r="D45" s="4"/>
      <x:c r="E45" s="25" t="s">
        <x:v>27</x:v>
      </x:c>
      <x:c r="F45" s="71">
        <x:f>L17-H17</x:f>
        <x:v>2826800</x:v>
      </x:c>
      <x:c r="G45" s="4"/>
      <x:c r="H45" s="25" t="s">
        <x:v>28</x:v>
      </x:c>
      <x:c r="I45" s="107">
        <x:v>2</x:v>
      </x:c>
      <x:c r="J45" s="108">
        <x:v>15</x:v>
      </x:c>
      <x:c r="K45" s="108">
        <x:v>12</x:v>
      </x:c>
      <x:c r="L45" s="108"/>
      <x:c r="M45" s="106"/>
      <x:c r="N45" s="4"/>
      <x:c r="O45" s="4"/>
      <x:c r="P45" s="4"/>
      <x:c r="Q45" s="4"/>
    </x:row>
    <x:row r="46" spans="1:17" s="3" customFormat="1" ht="26.5" hidden="1">
      <x:c r="A46" s="4">
        <x:v>4</x:v>
      </x:c>
      <x:c r="B46" s="95" t="s">
        <x:v>43</x:v>
      </x:c>
      <x:c r="C46" s="96">
        <x:f t="shared" si="4"/>
        <x:v>160000</x:v>
      </x:c>
      <x:c r="D46" s="4"/>
      <x:c r="E46" s="25" t="s">
        <x:v>17</x:v>
      </x:c>
      <x:c r="F46" s="71">
        <x:f t="shared" ref="F46:F47" si="5">L18-H18</x:f>
        <x:v>2616800</x:v>
      </x:c>
      <x:c r="G46" s="4"/>
      <x:c r="H46" s="4"/>
      <x:c r="I46" s="107">
        <x:v>3</x:v>
      </x:c>
      <x:c r="J46" s="108">
        <x:v>16</x:v>
      </x:c>
      <x:c r="K46" s="108">
        <x:v>13</x:v>
      </x:c>
      <x:c r="L46" s="108"/>
      <x:c r="M46" s="106"/>
      <x:c r="N46" s="4"/>
      <x:c r="O46" s="4"/>
      <x:c r="P46" s="4"/>
      <x:c r="Q46" s="4"/>
    </x:row>
    <x:row r="47" spans="1:17" s="3" customFormat="1" ht="26.5" hidden="1">
      <x:c r="A47" s="4">
        <x:v>5</x:v>
      </x:c>
      <x:c r="B47" s="95" t="s">
        <x:v>38</x:v>
      </x:c>
      <x:c r="C47" s="96">
        <x:f t="shared" si="4"/>
        <x:v>200000</x:v>
      </x:c>
      <x:c r="D47" s="4"/>
      <x:c r="E47" s="25" t="s">
        <x:v>89</x:v>
      </x:c>
      <x:c r="F47" s="71">
        <x:f t="shared" si="5"/>
        <x:v>2513500</x:v>
      </x:c>
      <x:c r="G47" s="4"/>
      <x:c r="H47" s="4"/>
      <x:c r="I47" s="107">
        <x:v>4</x:v>
      </x:c>
      <x:c r="J47" s="108">
        <x:v>16</x:v>
      </x:c>
      <x:c r="K47" s="108">
        <x:v>13</x:v>
      </x:c>
      <x:c r="L47" s="108"/>
      <x:c r="M47" s="106"/>
      <x:c r="N47" s="4"/>
      <x:c r="O47" s="4"/>
      <x:c r="P47" s="4"/>
      <x:c r="Q47" s="4"/>
    </x:row>
    <x:row r="48" spans="1:17" s="3" customFormat="1" ht="26.5" hidden="1">
      <x:c r="A48" s="4">
        <x:v>6</x:v>
      </x:c>
      <x:c r="B48" s="95" t="s">
        <x:v>39</x:v>
      </x:c>
      <x:c r="C48" s="96">
        <x:f t="shared" si="4"/>
        <x:v>240000</x:v>
      </x:c>
      <x:c r="D48" s="4"/>
      <x:c r="E48" s="4"/>
      <x:c r="F48" s="4"/>
      <x:c r="G48" s="4"/>
      <x:c r="H48" s="4"/>
      <x:c r="I48" s="107">
        <x:v>5</x:v>
      </x:c>
      <x:c r="J48" s="108">
        <x:v>17</x:v>
      </x:c>
      <x:c r="K48" s="108">
        <x:v>14</x:v>
      </x:c>
      <x:c r="L48" s="108"/>
      <x:c r="M48" s="106"/>
      <x:c r="N48" s="4"/>
      <x:c r="O48" s="4"/>
      <x:c r="P48" s="4"/>
      <x:c r="Q48" s="4"/>
    </x:row>
    <x:row r="49" spans="1:17" s="3" customFormat="1" ht="26.5" hidden="1">
      <x:c r="A49" s="4">
        <x:v>7</x:v>
      </x:c>
      <x:c r="B49" s="95" t="s">
        <x:v>42</x:v>
      </x:c>
      <x:c r="C49" s="96">
        <x:f t="shared" si="4"/>
        <x:v>280000</x:v>
      </x:c>
      <x:c r="D49" s="4"/>
      <x:c r="E49" s="4"/>
      <x:c r="F49" s="4"/>
      <x:c r="G49" s="4"/>
      <x:c r="H49" s="4"/>
      <x:c r="I49" s="107">
        <x:v>6</x:v>
      </x:c>
      <x:c r="J49" s="108">
        <x:v>17</x:v>
      </x:c>
      <x:c r="K49" s="108">
        <x:v>14</x:v>
      </x:c>
      <x:c r="L49" s="108"/>
      <x:c r="M49" s="106"/>
      <x:c r="N49" s="4"/>
      <x:c r="O49" s="4"/>
      <x:c r="P49" s="4"/>
      <x:c r="Q49" s="4"/>
    </x:row>
    <x:row r="50" spans="1:17" s="3" customFormat="1" ht="26.5" hidden="1">
      <x:c r="A50" s="4">
        <x:v>8</x:v>
      </x:c>
      <x:c r="B50" s="95" t="s">
        <x:v>37</x:v>
      </x:c>
      <x:c r="C50" s="96">
        <x:f t="shared" si="4"/>
        <x:v>320000</x:v>
      </x:c>
      <x:c r="D50" s="4"/>
      <x:c r="E50" s="4"/>
      <x:c r="F50" s="4"/>
      <x:c r="G50" s="4"/>
      <x:c r="H50" s="4"/>
      <x:c r="I50" s="107">
        <x:v>7</x:v>
      </x:c>
      <x:c r="J50" s="108">
        <x:v>18</x:v>
      </x:c>
      <x:c r="K50" s="108">
        <x:v>15</x:v>
      </x:c>
      <x:c r="L50" s="108"/>
      <x:c r="M50" s="106"/>
      <x:c r="N50" s="4"/>
      <x:c r="O50" s="4"/>
      <x:c r="P50" s="4"/>
      <x:c r="Q50" s="4"/>
    </x:row>
    <x:row r="51" spans="1:17" s="3" customFormat="1" ht="26.5" hidden="1">
      <x:c r="A51" s="4">
        <x:v>9</x:v>
      </x:c>
      <x:c r="B51" s="95" t="s">
        <x:v>47</x:v>
      </x:c>
      <x:c r="C51" s="96">
        <x:f t="shared" si="4"/>
        <x:v>360000</x:v>
      </x:c>
      <x:c r="D51" s="4"/>
      <x:c r="E51" s="109"/>
      <x:c r="F51" s="109"/>
      <x:c r="G51" s="109"/>
      <x:c r="H51" s="4"/>
      <x:c r="I51" s="107">
        <x:v>8</x:v>
      </x:c>
      <x:c r="J51" s="108">
        <x:v>18</x:v>
      </x:c>
      <x:c r="K51" s="108">
        <x:v>15</x:v>
      </x:c>
      <x:c r="L51" s="108"/>
      <x:c r="M51" s="106"/>
      <x:c r="N51" s="4"/>
      <x:c r="O51" s="4"/>
      <x:c r="P51" s="4"/>
      <x:c r="Q51" s="4"/>
    </x:row>
    <x:row r="52" spans="1:17" s="3" customFormat="1" ht="26.5" hidden="1">
      <x:c r="A52" s="4">
        <x:v>10</x:v>
      </x:c>
      <x:c r="B52" s="95" t="s">
        <x:v>58</x:v>
      </x:c>
      <x:c r="C52" s="96">
        <x:f t="shared" si="4"/>
        <x:v>400000</x:v>
      </x:c>
      <x:c r="D52" s="4"/>
      <x:c r="E52" s="45"/>
      <x:c r="F52" s="110"/>
      <x:c r="G52" s="109"/>
      <x:c r="H52" s="4"/>
      <x:c r="I52" s="107">
        <x:v>9</x:v>
      </x:c>
      <x:c r="J52" s="108">
        <x:v>19</x:v>
      </x:c>
      <x:c r="K52" s="108">
        <x:v>16</x:v>
      </x:c>
      <x:c r="L52" s="108"/>
      <x:c r="M52" s="106"/>
      <x:c r="N52" s="4"/>
      <x:c r="O52" s="4"/>
      <x:c r="P52" s="4"/>
      <x:c r="Q52" s="4"/>
    </x:row>
    <x:row r="53" spans="1:17" s="3" customFormat="1" ht="26.5" hidden="1">
      <x:c r="A53" s="4">
        <x:v>11</x:v>
      </x:c>
      <x:c r="B53" s="95" t="s">
        <x:v>65</x:v>
      </x:c>
      <x:c r="C53" s="96">
        <x:f t="shared" si="4"/>
        <x:v>440000</x:v>
      </x:c>
      <x:c r="D53" s="4"/>
      <x:c r="E53" s="45"/>
      <x:c r="F53" s="45"/>
      <x:c r="G53" s="109"/>
      <x:c r="H53" s="4"/>
      <x:c r="I53" s="107">
        <x:v>10</x:v>
      </x:c>
      <x:c r="J53" s="108">
        <x:v>19</x:v>
      </x:c>
      <x:c r="K53" s="108">
        <x:v>16</x:v>
      </x:c>
      <x:c r="L53" s="108"/>
      <x:c r="M53" s="106"/>
      <x:c r="N53" s="4"/>
      <x:c r="O53" s="4"/>
      <x:c r="P53" s="4"/>
      <x:c r="Q53" s="4"/>
    </x:row>
    <x:row r="54" spans="1:17" s="3" customFormat="1" ht="26.5" hidden="1">
      <x:c r="A54" s="4">
        <x:v>12</x:v>
      </x:c>
      <x:c r="B54" s="95" t="s">
        <x:v>60</x:v>
      </x:c>
      <x:c r="C54" s="96">
        <x:f t="shared" si="4"/>
        <x:v>480000</x:v>
      </x:c>
      <x:c r="D54" s="4"/>
      <x:c r="E54" s="45"/>
      <x:c r="F54" s="45"/>
      <x:c r="G54" s="109"/>
      <x:c r="H54" s="4"/>
      <x:c r="I54" s="107">
        <x:v>11</x:v>
      </x:c>
      <x:c r="J54" s="108">
        <x:v>20</x:v>
      </x:c>
      <x:c r="K54" s="108">
        <x:v>17</x:v>
      </x:c>
      <x:c r="L54" s="108"/>
      <x:c r="M54" s="106"/>
      <x:c r="N54" s="4"/>
      <x:c r="O54" s="4"/>
      <x:c r="P54" s="4"/>
      <x:c r="Q54" s="4"/>
    </x:row>
    <x:row r="55" spans="1:17" s="3" customFormat="1" ht="26.5" hidden="1">
      <x:c r="A55" s="4">
        <x:v>13</x:v>
      </x:c>
      <x:c r="B55" s="95" t="s">
        <x:v>64</x:v>
      </x:c>
      <x:c r="C55" s="96">
        <x:f t="shared" si="4"/>
        <x:v>520000</x:v>
      </x:c>
      <x:c r="D55" s="4"/>
      <x:c r="E55" s="38"/>
      <x:c r="F55" s="35"/>
      <x:c r="G55" s="109"/>
      <x:c r="H55" s="4"/>
      <x:c r="I55" s="107">
        <x:v>12</x:v>
      </x:c>
      <x:c r="J55" s="108">
        <x:v>20</x:v>
      </x:c>
      <x:c r="K55" s="108">
        <x:v>17</x:v>
      </x:c>
      <x:c r="L55" s="108"/>
      <x:c r="M55" s="106"/>
      <x:c r="N55" s="4"/>
      <x:c r="O55" s="4"/>
      <x:c r="P55" s="4"/>
      <x:c r="Q55" s="4"/>
    </x:row>
    <x:row r="56" spans="1:17" s="3" customFormat="1" ht="26.5" hidden="1">
      <x:c r="A56" s="4">
        <x:v>14</x:v>
      </x:c>
      <x:c r="B56" s="95" t="s">
        <x:v>100</x:v>
      </x:c>
      <x:c r="C56" s="96">
        <x:f t="shared" si="4"/>
        <x:v>560000</x:v>
      </x:c>
      <x:c r="D56" s="4"/>
      <x:c r="E56" s="38"/>
      <x:c r="F56" s="35"/>
      <x:c r="G56" s="109"/>
      <x:c r="H56" s="4"/>
      <x:c r="I56" s="107">
        <x:v>13</x:v>
      </x:c>
      <x:c r="J56" s="108">
        <x:v>21</x:v>
      </x:c>
      <x:c r="K56" s="108">
        <x:v>18</x:v>
      </x:c>
      <x:c r="L56" s="108"/>
      <x:c r="M56" s="106"/>
      <x:c r="N56" s="4"/>
      <x:c r="O56" s="4"/>
      <x:c r="P56" s="4"/>
      <x:c r="Q56" s="4"/>
    </x:row>
    <x:row r="57" spans="1:17" s="3" customFormat="1" ht="26.5" hidden="1">
      <x:c r="A57" s="4">
        <x:v>15</x:v>
      </x:c>
      <x:c r="B57" s="95" t="s">
        <x:v>96</x:v>
      </x:c>
      <x:c r="C57" s="96">
        <x:f t="shared" si="4"/>
        <x:v>600000</x:v>
      </x:c>
      <x:c r="D57" s="4"/>
      <x:c r="E57" s="38"/>
      <x:c r="F57" s="35"/>
      <x:c r="G57" s="109"/>
      <x:c r="H57" s="4"/>
      <x:c r="I57" s="107">
        <x:v>14</x:v>
      </x:c>
      <x:c r="J57" s="108">
        <x:v>21</x:v>
      </x:c>
      <x:c r="K57" s="108">
        <x:v>18</x:v>
      </x:c>
      <x:c r="L57" s="108"/>
      <x:c r="M57" s="106"/>
      <x:c r="N57" s="4"/>
      <x:c r="O57" s="4"/>
      <x:c r="P57" s="4"/>
      <x:c r="Q57" s="4"/>
    </x:row>
    <x:row r="58" spans="1:17" s="3" customFormat="1" ht="26.5" hidden="1">
      <x:c r="A58" s="4">
        <x:v>16</x:v>
      </x:c>
      <x:c r="B58" s="95" t="s">
        <x:v>101</x:v>
      </x:c>
      <x:c r="C58" s="96">
        <x:f t="shared" si="4"/>
        <x:v>640000</x:v>
      </x:c>
      <x:c r="D58" s="4"/>
      <x:c r="E58" s="109"/>
      <x:c r="F58" s="109"/>
      <x:c r="G58" s="109"/>
      <x:c r="H58" s="4"/>
      <x:c r="I58" s="107">
        <x:v>15</x:v>
      </x:c>
      <x:c r="J58" s="108">
        <x:v>22</x:v>
      </x:c>
      <x:c r="K58" s="108">
        <x:v>19</x:v>
      </x:c>
      <x:c r="L58" s="108"/>
      <x:c r="M58" s="106"/>
      <x:c r="N58" s="4"/>
      <x:c r="O58" s="4"/>
      <x:c r="P58" s="4"/>
      <x:c r="Q58" s="4"/>
    </x:row>
    <x:row r="59" spans="1:17" s="3" customFormat="1" ht="26.5" hidden="1">
      <x:c r="A59" s="4">
        <x:v>17</x:v>
      </x:c>
      <x:c r="B59" s="95" t="s">
        <x:v>99</x:v>
      </x:c>
      <x:c r="C59" s="96">
        <x:f t="shared" si="4"/>
        <x:v>680000</x:v>
      </x:c>
      <x:c r="D59" s="4"/>
      <x:c r="E59" s="45"/>
      <x:c r="F59" s="110"/>
      <x:c r="G59" s="109"/>
      <x:c r="H59" s="4"/>
      <x:c r="I59" s="107">
        <x:v>16</x:v>
      </x:c>
      <x:c r="J59" s="108">
        <x:v>22</x:v>
      </x:c>
      <x:c r="K59" s="108">
        <x:v>19</x:v>
      </x:c>
      <x:c r="L59" s="108"/>
      <x:c r="M59" s="106"/>
      <x:c r="N59" s="4"/>
      <x:c r="O59" s="4"/>
      <x:c r="P59" s="4"/>
      <x:c r="Q59" s="4"/>
    </x:row>
    <x:row r="60" spans="1:17" s="3" customFormat="1" ht="26.5" hidden="1">
      <x:c r="A60" s="4">
        <x:v>18</x:v>
      </x:c>
      <x:c r="B60" s="95" t="s">
        <x:v>61</x:v>
      </x:c>
      <x:c r="C60" s="96">
        <x:f t="shared" si="4"/>
        <x:v>720000</x:v>
      </x:c>
      <x:c r="D60" s="4"/>
      <x:c r="E60" s="45"/>
      <x:c r="F60" s="45"/>
      <x:c r="G60" s="109"/>
      <x:c r="H60" s="4"/>
      <x:c r="I60" s="107">
        <x:v>17</x:v>
      </x:c>
      <x:c r="J60" s="108">
        <x:v>23</x:v>
      </x:c>
      <x:c r="K60" s="108">
        <x:v>20</x:v>
      </x:c>
      <x:c r="L60" s="108"/>
      <x:c r="M60" s="106"/>
      <x:c r="N60" s="4"/>
      <x:c r="O60" s="4"/>
      <x:c r="P60" s="4"/>
      <x:c r="Q60" s="4"/>
    </x:row>
    <x:row r="61" spans="1:17" s="3" customFormat="1" ht="26.5" hidden="1">
      <x:c r="A61" s="4">
        <x:v>19</x:v>
      </x:c>
      <x:c r="B61" s="95" t="s">
        <x:v>98</x:v>
      </x:c>
      <x:c r="C61" s="96">
        <x:f t="shared" si="4"/>
        <x:v>760000</x:v>
      </x:c>
      <x:c r="D61" s="4"/>
      <x:c r="E61" s="45"/>
      <x:c r="F61" s="45"/>
      <x:c r="G61" s="109"/>
      <x:c r="H61" s="4"/>
      <x:c r="I61" s="107">
        <x:v>18</x:v>
      </x:c>
      <x:c r="J61" s="108">
        <x:v>23</x:v>
      </x:c>
      <x:c r="K61" s="108">
        <x:v>20</x:v>
      </x:c>
      <x:c r="L61" s="108"/>
      <x:c r="M61" s="106"/>
      <x:c r="N61" s="4"/>
      <x:c r="O61" s="4"/>
      <x:c r="P61" s="4"/>
      <x:c r="Q61" s="4"/>
    </x:row>
    <x:row r="62" spans="1:17" s="3" customFormat="1" ht="26.5" hidden="1">
      <x:c r="A62" s="4">
        <x:v>20</x:v>
      </x:c>
      <x:c r="B62" s="95" t="s">
        <x:v>95</x:v>
      </x:c>
      <x:c r="C62" s="96">
        <x:f t="shared" si="4"/>
        <x:v>800000</x:v>
      </x:c>
      <x:c r="D62" s="4"/>
      <x:c r="E62" s="38"/>
      <x:c r="F62" s="35"/>
      <x:c r="G62" s="109"/>
      <x:c r="H62" s="4"/>
      <x:c r="I62" s="107">
        <x:v>19</x:v>
      </x:c>
      <x:c r="J62" s="108">
        <x:v>24</x:v>
      </x:c>
      <x:c r="K62" s="108">
        <x:v>21</x:v>
      </x:c>
      <x:c r="L62" s="108"/>
      <x:c r="M62" s="106"/>
      <x:c r="N62" s="4"/>
      <x:c r="O62" s="4"/>
      <x:c r="P62" s="4"/>
      <x:c r="Q62" s="4"/>
    </x:row>
    <x:row r="63" spans="1:17" s="3" customFormat="1" ht="26.5" hidden="1">
      <x:c r="A63" s="4">
        <x:v>21</x:v>
      </x:c>
      <x:c r="B63" s="95" t="s">
        <x:v>97</x:v>
      </x:c>
      <x:c r="C63" s="96">
        <x:f t="shared" si="4"/>
        <x:v>840000</x:v>
      </x:c>
      <x:c r="D63" s="4"/>
      <x:c r="E63" s="38"/>
      <x:c r="F63" s="35"/>
      <x:c r="G63" s="109"/>
      <x:c r="H63" s="4"/>
      <x:c r="I63" s="107">
        <x:v>20</x:v>
      </x:c>
      <x:c r="J63" s="108">
        <x:v>24</x:v>
      </x:c>
      <x:c r="K63" s="108">
        <x:v>21</x:v>
      </x:c>
      <x:c r="L63" s="108"/>
      <x:c r="M63" s="106"/>
      <x:c r="N63" s="4"/>
      <x:c r="O63" s="4"/>
      <x:c r="P63" s="4"/>
      <x:c r="Q63" s="4"/>
    </x:row>
    <x:row r="64" spans="1:17" s="3" customFormat="1" ht="26.5" hidden="1">
      <x:c r="A64" s="4">
        <x:v>22</x:v>
      </x:c>
      <x:c r="B64" s="95" t="s">
        <x:v>102</x:v>
      </x:c>
      <x:c r="C64" s="96">
        <x:f t="shared" si="4"/>
        <x:v>880000</x:v>
      </x:c>
      <x:c r="D64" s="4"/>
      <x:c r="E64" s="38"/>
      <x:c r="F64" s="35"/>
      <x:c r="G64" s="109"/>
      <x:c r="H64" s="4"/>
      <x:c r="I64" s="107">
        <x:v>21</x:v>
      </x:c>
      <x:c r="J64" s="108">
        <x:v>25</x:v>
      </x:c>
      <x:c r="K64" s="108">
        <x:v>22</x:v>
      </x:c>
      <x:c r="L64" s="108"/>
      <x:c r="M64" s="106"/>
      <x:c r="N64" s="4"/>
      <x:c r="O64" s="4"/>
      <x:c r="P64" s="4"/>
      <x:c r="Q64" s="4"/>
    </x:row>
    <x:row r="65" spans="1:17" s="3" customFormat="1" ht="24" hidden="1" customHeight="1">
      <x:c r="A65" s="4">
        <x:v>23</x:v>
      </x:c>
      <x:c r="B65" s="95" t="s">
        <x:v>53</x:v>
      </x:c>
      <x:c r="C65" s="96">
        <x:f t="shared" si="4"/>
        <x:v>920000</x:v>
      </x:c>
      <x:c r="D65" s="4"/>
      <x:c r="E65" s="109"/>
      <x:c r="F65" s="109"/>
      <x:c r="G65" s="109"/>
      <x:c r="H65" s="4"/>
      <x:c r="I65" s="107">
        <x:v>22</x:v>
      </x:c>
      <x:c r="J65" s="108">
        <x:v>25</x:v>
      </x:c>
      <x:c r="K65" s="108">
        <x:v>22</x:v>
      </x:c>
      <x:c r="L65" s="108"/>
      <x:c r="M65" s="106"/>
      <x:c r="N65" s="4"/>
      <x:c r="O65" s="4"/>
      <x:c r="P65" s="4"/>
      <x:c r="Q65" s="4"/>
    </x:row>
    <x:row r="66" spans="1:17" s="3" customFormat="1" ht="24" hidden="1" customHeight="1">
      <x:c r="A66" s="4"/>
      <x:c r="B66" s="4"/>
      <x:c r="C66" s="4"/>
      <x:c r="D66" s="4"/>
      <x:c r="E66" s="4"/>
      <x:c r="F66" s="4"/>
      <x:c r="G66" s="4"/>
      <x:c r="H66" s="4"/>
      <x:c r="I66" s="107">
        <x:v>23</x:v>
      </x:c>
      <x:c r="J66" s="108">
        <x:v>25</x:v>
      </x:c>
      <x:c r="K66" s="108">
        <x:v>23</x:v>
      </x:c>
      <x:c r="L66" s="108"/>
      <x:c r="M66" s="106"/>
      <x:c r="N66" s="4"/>
      <x:c r="O66" s="4"/>
      <x:c r="P66" s="4"/>
      <x:c r="Q66" s="4"/>
    </x:row>
    <x:row r="67" spans="1:17" s="3" customFormat="1" ht="24" hidden="1" customHeight="1">
      <x:c r="A67" s="4"/>
      <x:c r="B67" s="4"/>
      <x:c r="C67" s="4"/>
      <x:c r="D67" s="4"/>
      <x:c r="E67" s="4"/>
      <x:c r="F67" s="4"/>
      <x:c r="G67" s="4"/>
      <x:c r="H67" s="4"/>
      <x:c r="I67" s="107">
        <x:v>24</x:v>
      </x:c>
      <x:c r="J67" s="108">
        <x:v>25</x:v>
      </x:c>
      <x:c r="K67" s="108">
        <x:v>23</x:v>
      </x:c>
      <x:c r="L67" s="108"/>
      <x:c r="M67" s="106"/>
      <x:c r="N67" s="4"/>
      <x:c r="O67" s="4"/>
      <x:c r="P67" s="4"/>
      <x:c r="Q67" s="4"/>
    </x:row>
    <x:row r="68" spans="1:17" s="3" customFormat="1" ht="24" hidden="1" customHeight="1">
      <x:c r="A68" s="4"/>
      <x:c r="B68" s="4"/>
      <x:c r="C68" s="4"/>
      <x:c r="D68" s="4"/>
      <x:c r="E68" s="4"/>
      <x:c r="F68" s="4"/>
      <x:c r="G68" s="4"/>
      <x:c r="H68" s="4"/>
      <x:c r="I68" s="107">
        <x:v>25</x:v>
      </x:c>
      <x:c r="J68" s="108">
        <x:v>25</x:v>
      </x:c>
      <x:c r="K68" s="108">
        <x:v>24</x:v>
      </x:c>
      <x:c r="L68" s="108"/>
      <x:c r="M68" s="106"/>
      <x:c r="N68" s="4"/>
      <x:c r="O68" s="4"/>
      <x:c r="P68" s="4"/>
      <x:c r="Q68" s="4"/>
    </x:row>
    <x:row r="69" spans="1:17" s="3" customFormat="1" ht="24" hidden="1" customHeight="1">
      <x:c r="A69" s="4"/>
      <x:c r="B69" s="4"/>
      <x:c r="C69" s="4"/>
      <x:c r="D69" s="4"/>
      <x:c r="E69" s="4"/>
      <x:c r="F69" s="4"/>
      <x:c r="G69" s="4"/>
      <x:c r="H69" s="4"/>
      <x:c r="I69" s="107">
        <x:v>26</x:v>
      </x:c>
      <x:c r="J69" s="108">
        <x:v>25</x:v>
      </x:c>
      <x:c r="K69" s="108">
        <x:v>24</x:v>
      </x:c>
      <x:c r="L69" s="108"/>
      <x:c r="M69" s="106"/>
      <x:c r="N69" s="4"/>
      <x:c r="O69" s="4"/>
      <x:c r="P69" s="4"/>
      <x:c r="Q69" s="4"/>
    </x:row>
    <x:row r="70" spans="1:17" s="3" customFormat="1" ht="24" hidden="1" customHeight="1">
      <x:c r="A70" s="4"/>
      <x:c r="B70" s="4"/>
      <x:c r="C70" s="4"/>
      <x:c r="D70" s="4"/>
      <x:c r="E70" s="4"/>
      <x:c r="F70" s="4"/>
      <x:c r="G70" s="4"/>
      <x:c r="H70" s="4"/>
      <x:c r="I70" s="107">
        <x:v>27</x:v>
      </x:c>
      <x:c r="J70" s="108">
        <x:v>25</x:v>
      </x:c>
      <x:c r="K70" s="108">
        <x:v>25</x:v>
      </x:c>
      <x:c r="L70" s="108"/>
      <x:c r="M70" s="106"/>
      <x:c r="N70" s="4"/>
      <x:c r="O70" s="4"/>
      <x:c r="P70" s="4"/>
      <x:c r="Q70" s="4"/>
    </x:row>
    <x:row r="71" spans="1:17" s="3" customFormat="1" ht="24" hidden="1" customHeight="1">
      <x:c r="A71" s="4"/>
      <x:c r="B71" s="4"/>
      <x:c r="C71" s="4"/>
      <x:c r="D71" s="4"/>
      <x:c r="E71" s="4"/>
      <x:c r="F71" s="4"/>
      <x:c r="G71" s="4"/>
      <x:c r="H71" s="4"/>
      <x:c r="I71" s="107">
        <x:v>28</x:v>
      </x:c>
      <x:c r="J71" s="108">
        <x:v>25</x:v>
      </x:c>
      <x:c r="K71" s="108">
        <x:v>25</x:v>
      </x:c>
      <x:c r="L71" s="108"/>
      <x:c r="M71" s="106"/>
      <x:c r="N71" s="4"/>
      <x:c r="O71" s="4"/>
      <x:c r="P71" s="4"/>
      <x:c r="Q71" s="4"/>
    </x:row>
    <x:row r="72" spans="1:17" s="3" customFormat="1" ht="24" hidden="1" customHeight="1">
      <x:c r="A72" s="4"/>
      <x:c r="B72" s="4"/>
      <x:c r="C72" s="4"/>
      <x:c r="D72" s="4"/>
      <x:c r="E72" s="4"/>
      <x:c r="F72" s="4"/>
      <x:c r="G72" s="4"/>
      <x:c r="H72" s="4"/>
      <x:c r="I72" s="107">
        <x:v>29</x:v>
      </x:c>
      <x:c r="J72" s="108">
        <x:v>25</x:v>
      </x:c>
      <x:c r="K72" s="108">
        <x:v>25</x:v>
      </x:c>
      <x:c r="L72" s="108"/>
      <x:c r="M72" s="106"/>
      <x:c r="N72" s="4"/>
      <x:c r="O72" s="4"/>
      <x:c r="P72" s="4"/>
      <x:c r="Q72" s="4"/>
    </x:row>
    <x:row r="73" spans="1:17" s="3" customFormat="1" ht="24" hidden="1" customHeight="1">
      <x:c r="A73" s="4"/>
      <x:c r="B73" s="4"/>
      <x:c r="C73" s="4"/>
      <x:c r="D73" s="4"/>
      <x:c r="E73" s="4"/>
      <x:c r="F73" s="4"/>
      <x:c r="G73" s="4"/>
      <x:c r="H73" s="4"/>
      <x:c r="I73" s="107">
        <x:v>30</x:v>
      </x:c>
      <x:c r="J73" s="108">
        <x:v>25</x:v>
      </x:c>
      <x:c r="K73" s="108">
        <x:v>25</x:v>
      </x:c>
      <x:c r="L73" s="108"/>
      <x:c r="M73" s="106"/>
      <x:c r="N73" s="4"/>
      <x:c r="O73" s="4"/>
      <x:c r="P73" s="4"/>
      <x:c r="Q73" s="4"/>
    </x:row>
    <x:row r="74" spans="1:17" s="3" customFormat="1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111"/>
      <x:c r="N74" s="4"/>
      <x:c r="O74" s="4"/>
      <x:c r="P74" s="4"/>
      <x:c r="Q74" s="4"/>
    </x:row>
    <x:row r="75" spans="13:13">
      <x:c r="M75" s="112"/>
    </x:row>
    <x:row r="76" spans="13:13">
      <x:c r="M76" s="112"/>
    </x:row>
  </x:sheetData>
  <x:mergeCells count="20">
    <x:mergeCell ref="A1:P1"/>
    <x:mergeCell ref="A14:A16"/>
    <x:mergeCell ref="B14:B16"/>
    <x:mergeCell ref="C14:K14"/>
    <x:mergeCell ref="L14:L16"/>
    <x:mergeCell ref="M14:M16"/>
    <x:mergeCell ref="N14:N16"/>
    <x:mergeCell ref="C15:F15"/>
    <x:mergeCell ref="G15:G16"/>
    <x:mergeCell ref="H15:H16"/>
    <x:mergeCell ref="I15:I16"/>
    <x:mergeCell ref="J15:J16"/>
    <x:mergeCell ref="K15:K16"/>
    <x:mergeCell ref="A31:A32"/>
    <x:mergeCell ref="B31:B32"/>
    <x:mergeCell ref="C31:C32"/>
    <x:mergeCell ref="D31:D32"/>
    <x:mergeCell ref="E31:E32"/>
    <x:mergeCell ref="E42:E44"/>
    <x:mergeCell ref="F42:F44"/>
  </x:mergeCells>
  <x:dataValidations count="5">
    <x:dataValidation allowBlank="1" showDropDown="1" showInputMessage="1" showErrorMessage="1" sqref="H45:H45"/>
    <x:dataValidation allowBlank="1" showDropDown="1" showInputMessage="1" showErrorMessage="1" sqref="H44:H44"/>
    <x:dataValidation type="list" operator="equal" allowBlank="1" showInputMessage="1" showErrorMessage="1" sqref="M5:M7">
      <x:formula1>$H$44:$H$45</x:formula1>
    </x:dataValidation>
    <x:dataValidation type="list" operator="equal" allowBlank="1" showInputMessage="1" showErrorMessage="1" sqref="H5:H7">
      <x:formula1>$A$17:$A$19</x:formula1>
    </x:dataValidation>
    <x:dataValidation type="list" operator="equal" allowBlank="1" showInputMessage="1" showErrorMessage="1" sqref="I5:I7">
      <x:formula1>$B$42:$B$65</x:formula1>
    </x:dataValidation>
  </x:dataValidations>
  <x:pageMargins left="0.74805557727813720703" right="0.74805557727813720703" top="0.98430556058883666992" bottom="0.98430556058883666992" header="0.51138889789581298828" footer="0.51138889789581298828"/>
  <x:pageSetup paperSize="9" scale="47" firstPageNumber="1" fitToWidth="1" fitToHeight="0" orientation="landscape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1.(우선작성)개인(연차수당,퇴직금)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2</cp:revision>
  <dcterms:created xsi:type="dcterms:W3CDTF">2026-07-05T23:24:02.018</dcterms:created>
  <dcterms:modified xsi:type="dcterms:W3CDTF">2026-07-05T23:24:37.685</dcterms:modified>
  <cp:version>1200.0100.01</cp:version>
</cp:coreProperties>
</file>