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교육공무직원-연구회 자료 관련\"/>
    </mc:Choice>
  </mc:AlternateContent>
  <x:bookViews>
    <x:workbookView xWindow="0" yWindow="0" windowWidth="28455" windowHeight="11310" tabRatio="763" activeTab="2"/>
  </x:bookViews>
  <x:sheets>
    <x:sheet name="부칙" sheetId="1" state="hidden" r:id="rId4"/>
    <x:sheet name="통계" sheetId="2" state="hidden" r:id="rId5"/>
    <x:sheet name="2025년 연차시간 및 미사용수당" sheetId="3" r:id="rId6"/>
    <x:sheet name="2026년 연차시간(`25 토요일 휴무)" sheetId="4" r:id="rId7"/>
    <x:sheet name="2026년 연차시간(`25 일요일 휴무)" sheetId="5" r:id="rId8"/>
    <x:sheet name="2025학년도 근로일" sheetId="6" r:id="rId9"/>
  </x:sheets>
  <x:definedNames>
    <x:definedName name="_xlnm._FilterDatabase" hidden="1">#REF!</x:definedName>
    <x:definedName name="_xlnm.Print_Area">#REF!</x:definedName>
    <x:definedName name="_xlnm.Print_Area" localSheetId="0">부칙!$A$1:$K$22</x:definedName>
    <x:definedName name="_xlnm.Print_Titles">#REF!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<x:sst xmlns:r="http://schemas.openxmlformats.org/officeDocument/2006/relationships" xmlns:c="http://schemas.openxmlformats.org/drawingml/2006/chart" xmlns:x="http://schemas.openxmlformats.org/spreadsheetml/2006/main" count="337" uniqueCount="168">
  <x:si>
    <x:t>제5조 【적용예외】 ① 단시간근로자의 근로조건은 통상근로자의 근로시간을 기준으로 산정한 비율에 따라 결정한다.</x:t>
  </x:si>
  <x:si>
    <x:r>
      <x:t xml:space="preserve">1. 2025학년도 </x:t>
    </x:r>
    <x:r>
      <x:rPr>
        <x:rFont val="맑은 고딕"/>
        <x:sz val="12"/>
        <x:color rgb="ff000000"/>
      </x:rPr>
      <x:t>(`25.3.1.~12.31.)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4"/>
            <x:color rgb="ff000000"/>
            <x:b val="1"/>
          </x:rPr>
        </mc:Fallback>
      </mc:AlternateContent>
      <x:t xml:space="preserve">일소정근로시간 6시간, </x:t>
    </x:r>
    <x:r>
      <x:rPr>
        <x:rFont val="맑은 고딕"/>
        <x:sz val="12"/>
        <x:color rgb="ff000000"/>
      </x:rPr>
      <x:t>(`26.1.1.~2.28.)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4"/>
            <x:color rgb="ff000000"/>
            <x:b val="1"/>
          </x:rPr>
        </mc:Fallback>
      </mc:AlternateContent>
      <x:t xml:space="preserve">6.67시간(=40/6) </x:t>
    </x:r>
  </x:si>
  <x:si>
    <x:t>4주 동안을 평균하여 1주 동안의 소정근로시간이 15시간 미만인 근로자에 대하여는 제13조[조합전임], 제14조[전임자의 처우], 제39조[휴직 사유와 기간] 제1항 제4호 및 제2항, 제64조[퇴직금], 제70조[유급휴일](근로자의 날 제외), 제71조[연차휴가], 제73조[병가], 제92조[육아휴직]를 적용하지 아니한다.</x:t>
  </x:si>
  <x:si>
    <x:t>【협약의 변경 및 보충협약 체결】 협약의 유효기간 중에는 보충협약 의 체결 및 재교섭을 요구할 수 없다. 단, 협약의 효력을 유지시키기 어려 울 만한 사회, 경제적 여건의 변화 등 특별한 사정이 있는 경우 협약의 일 부를 변경하거나 보충협약을 체결할 수 있다.</x:t>
  </x:si>
  <x:si>
    <x:t>제3조 【협약의 변경 및 보충협약 체결】 ① 협약의 유효기간 중에는 보충협약의 체결 및 재교섭을 요구할 수 없다. 단, 협약의 효력을 유지시키기 어려울 만한 사회, 경제적 여건의 변화 등 특별한 사정이 있는 경우 협약의 일부를 변경하거나 보충협약을 체결할 수 있다.</x:t>
  </x:si>
  <x:si>
    <x:t>【사립학교 조합원에 대한 적용】 도교육청은 사립학교에 근무하는 조합원과 해당 학교법인 간에 별도의 협약이 없는 경우 본 협약의 내용이 준용될 수 있도록 권고한다.</x:t>
  </x:si>
  <x:si>
    <x:t>도교육청은 신규인력 채용이 필요한 경우, 인력풀에 등록되어 있는 조 합원 중에서 공정한 기준에 따라 선정하여 채용하도록 노력한다.</x:t>
  </x:si>
  <x:si>
    <x:t xml:space="preserve">  ② 도교육청은 신규인력 채용이 필요한 경우, 인력풀에 등록되어 있는 조합원 중에서 공정한 기준에 따라 선정하여 채용하도록 노력한다.</x:t>
  </x:si>
  <x:si>
    <x:r>
      <x:t>협약의 유효기간이 경과한 후에도 새로운 단체협약이 체결되지 아니한 때에는 새로운 단체협약이 체결될 때까지 이 협약의 효력을 존속시킨다</x:t>
    </x:r>
    <x:r>
      <x:rPr>
        <x:rFont val="맑은 고딕"/>
        <x:sz val="10"/>
        <x:color rgb="ff000000"/>
      </x:rPr>
      <x:t>.</x:t>
    </x:r>
  </x:si>
  <x:si>
    <x:r>
      <x:t xml:space="preserve">【협약의 갱신】 협약의 유효기간 만료일 </x:t>
    </x:r>
    <x:r>
      <x:rPr>
        <x:rFont val="맑은 고딕"/>
        <x:sz val="10"/>
        <x:color rgb="ff000000"/>
      </x:rPr>
      <x:t>30일 전까지 당사자 모두 협약 변경의 의사가 없는 경우 이 협약은 새로 체결된 것으로 본다.</x:t>
    </x:r>
  </x:si>
  <x:si>
    <x:t xml:space="preserve">  ② 도교육청은 사립학교에 근무하는 조합원에 대해서도 노동관계법령을 준용할 수 있도록 지도한다.</x:t>
  </x:si>
  <x:si>
    <x:t>【적용예외】단시간근로자의 근로조건은 통상근로자의 근로시간을 
기준으로 산정한 비율에 따라 결정한다</x:t>
  </x:si>
  <x:si>
    <x:t>【준용】 이 협약에 명시되지 아니한 사항은 노동 관련 법규 및 노사 합 의된 노동관습에 따른다.</x:t>
  </x:si>
  <x:si>
    <x:t>◈ (예시) 시설당직원 근무 형태: 평일 6시간, 토요일 10시간, 일요일 휴무일</x:t>
  </x:si>
  <x:si>
    <x:r>
      <x:t xml:space="preserve"> ※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4"/>
            <x:color rgb="ffb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4"/>
            <x:color rgb="ffbf0000"/>
            <x:b val="1"/>
          </x:rPr>
        </mc:Fallback>
      </mc:AlternateContent>
      <x:t>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b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bf0000"/>
            <x:b val="1"/>
          </x:rPr>
        </mc:Fallback>
      </mc:AlternateContent>
      <x:t xml:space="preserve"> (파란색 칸) 미사용연차수당 지급 대상자의 연차일수(기본, 가산) 입력</x:t>
    </x:r>
  </x:si>
  <x:si>
    <x:t>② 제1항에 따른 협약의 일부 변경 및 보충협약은 이 협약과 동일한 효력을 가진다.</x:t>
  </x:si>
  <x:si>
    <x:r>
      <x:t xml:space="preserve"> ※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4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4"/>
            <x:color rgb="ffff0000"/>
            <x:b val="1"/>
          </x:rPr>
        </mc:Fallback>
      </mc:AlternateContent>
      <x:t>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ff0000"/>
            <x:b val="1"/>
          </x:rPr>
        </mc:Fallback>
      </mc:AlternateContent>
      <x:t xml:space="preserve"> (파란색 칸) 미사용연차수당 지급 대상자의 연차일수(기본, 가산) 입력</x:t>
    </x:r>
  </x:si>
  <x:si>
    <x:r>
      <x:t>제</x:t>
    </x:r>
    <x:r>
      <x:rPr>
        <x:rFont val="맑은 고딕"/>
        <x:sz val="10"/>
        <x:color rgb="ff000000"/>
      </x:rPr>
      <x:t>1항에 따른 협약의 일부 변경 및 보충협약은 이 협약과 동일한 효력을 가진다.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</x:si>
  <x:si>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000000"/>
          </x:rPr>
        </mc:Fallback>
      </mc:AlternateContent>
      <x:t xml:space="preserve">(`18~`25년 계속근무=연차18일)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ff0000"/>
          </x:rPr>
        </mc:Fallback>
      </mc:AlternateContent>
      <x:t>2026학년도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000000"/>
          </x:rPr>
        </mc:Fallback>
      </mc:AlternateContent>
      <x:t>(주40시간)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ff0000"/>
          </x:rPr>
        </mc:Fallback>
      </mc:AlternateContent>
      <x:t>연차일(시간)·미사용연차수당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000000"/>
          </x:rPr>
        </mc:Fallback>
      </mc:AlternateContent>
      <x:t xml:space="preserve"> 계산방법 (※`25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ff0000"/>
          </x:rPr>
        </mc:Fallback>
      </mc:AlternateContent>
      <x:t>일요일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000000"/>
          </x:rPr>
        </mc:Fallback>
      </mc:AlternateContent>
      <x:t xml:space="preserve"> 휴무)</x:t>
    </x:r>
  </x:si>
  <x:si>
    <x:t xml:space="preserve">  ④ 특수운영직군에 대하여는 제38조[정년], 제39조[휴직 사유와 기간] 제2항, 제92조[육아휴직]를 적용하지 아니한다.</x:t>
  </x:si>
  <x:si>
    <x:t xml:space="preserve">  ③ 대체근로자의 경우 제39조[휴직 사유와 기간] 제1항 제2호 및 제2항, 제92조[육아휴직]를 적용하지 아니한다. </x:t>
  </x:si>
  <x:si>
    <x:r>
      <x:t xml:space="preserve">◈ 2025학년도 </x:t>
    </x:r>
    <x:r>
      <x:rPr>
        <x:rFont val="맑은 고딕"/>
        <x:sz val="12"/>
        <x:color rgb="ff000000"/>
      </x:rPr>
      <x:t>(`25.3.1.~12.31.)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4"/>
            <x:color rgb="ff000000"/>
            <x:b val="1"/>
          </x:rPr>
        </mc:Fallback>
      </mc:AlternateContent>
      <x:t xml:space="preserve">일소정근로시간 6시간, </x:t>
    </x:r>
    <x:r>
      <x:rPr>
        <x:rFont val="맑은 고딕"/>
        <x:sz val="12"/>
        <x:color rgb="ff000000"/>
      </x:rPr>
      <x:t>(`26.1.1.~2.28.)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4"/>
            <x:color rgb="ff000000"/>
            <x:b val="1"/>
          </x:rPr>
        </mc:Fallback>
      </mc:AlternateContent>
      <x:t xml:space="preserve">6.67시간(=40/6) 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</x:si>
  <x:si>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000000"/>
          </x:rPr>
        </mc:Fallback>
      </mc:AlternateContent>
      <x:t xml:space="preserve">(`18~`25년 계속근무=연차18일)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ff0000"/>
          </x:rPr>
        </mc:Fallback>
      </mc:AlternateContent>
      <x:t>2026학년도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000000"/>
          </x:rPr>
        </mc:Fallback>
      </mc:AlternateContent>
      <x:t xml:space="preserve">(주40시간)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ff0000"/>
          </x:rPr>
        </mc:Fallback>
      </mc:AlternateContent>
      <x:t xml:space="preserve">연차일(시간)·미사용연차수당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000000"/>
          </x:rPr>
        </mc:Fallback>
      </mc:AlternateContent>
      <x:t xml:space="preserve">계산방법 (※`25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ff0000"/>
          </x:rPr>
        </mc:Fallback>
      </mc:AlternateContent>
      <x:t>토요일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000000"/>
          </x:rPr>
        </mc:Fallback>
      </mc:AlternateContent>
      <x:t xml:space="preserve"> 휴무)</x:t>
    </x:r>
  </x:si>
  <x:si>
    <x:t xml:space="preserve">  ② 4주 동안을 평균하여 1주 동안의 소정근로시간이 15시간 미만인 근로자에 대하여는 제13조[조합전임], 제14조[전임자의 처우], 제39조[휴직 사유와 기간] 제1항 제4호 및 제2항, 제64조[퇴직금], 제70조[유급휴일](근로자의 날 제외), 제71조[연차휴가], 제73조[병가], 제92조[육아휴직]를 적용하지 아니한다.</x:t>
  </x:si>
  <x:si>
    <x:r>
      <x:t xml:space="preserve"> ※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4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4"/>
            <x:color rgb="ff0000ff"/>
            <x:b val="1"/>
          </x:rPr>
        </mc:Fallback>
      </mc:AlternateContent>
      <x:t>④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0000ff"/>
            <x:b val="1"/>
          </x:rPr>
        </mc:Fallback>
      </mc:AlternateContent>
      <x:t xml:space="preserve"> (연두색 칸) '지각·조퇴·외출' 총 사용시간 입력</x:t>
    </x:r>
  </x:si>
  <x:si>
    <x:t>【적용시기】 본 협약은 2020. 3. 1.부터 적용한다.</x:t>
  </x:si>
  <x:si>
    <x:t xml:space="preserve">  ② 임금협약은 별도로 정하되, 그 유효기간은 1년으로 한다.</x:t>
  </x:si>
  <x:si>
    <x:t>* (휴무일을 제외한 근무일별 근로시간 합계)/4.345주</x:t>
  </x:si>
  <x:si>
    <x:r>
      <x:t>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4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4"/>
            <x:color rgb="ffff0000"/>
            <x:b val="1"/>
          </x:rPr>
        </mc:Fallback>
      </mc:AlternateContent>
      <x:t>⑤</x:t>
    </x:r>
    <x:r>
      <x:rPr>
        <x:rFont val="맑은 고딕"/>
        <x:sz val="11"/>
        <x:color rgb="ffff0000"/>
        <x:b val="1"/>
      </x:rPr>
      <x:t>회계연도 마지막 월(月)의 시간급 통상임금으로 입력할 것</x:t>
    </x:r>
  </x:si>
  <x:si>
    <x:t>2. 시설당직원의 연차휴가를 통상근로자(일8시간) 기준으로 환산</x:t>
  </x:si>
  <x:si>
    <x:r>
      <x:t xml:space="preserve">   ※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4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4"/>
            <x:color rgb="ff0000ff"/>
            <x:b val="1"/>
          </x:rPr>
        </mc:Fallback>
      </mc:AlternateContent>
      <x:t>③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0000ff"/>
            <x:b val="1"/>
          </x:rPr>
        </mc:Fallback>
      </mc:AlternateContent>
      <x:t xml:space="preserve"> (노란색 칸) '근로시간 단위·연차사용일수'입력</x:t>
    </x:r>
  </x:si>
  <x:si>
    <x:t>【유효기간】 이 협약의 유효기간은 체결일로부터 2년으로 한다.</x:t>
  </x:si>
  <x:si>
    <x:t xml:space="preserve">  ④ 협약의 유효기간 중 노사 일방은 협약을 해지할 수 없다.</x:t>
  </x:si>
  <x:si>
    <x:t>* (기본급+정액급식비+명절휴가비+정기상여금)/ 월 통상임금 산정기준 근로시간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</x:si>
  <x:si>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  <x:b val="1"/>
          </x:rPr>
        </mc:Fallback>
      </mc:AlternateContent>
      <x:t xml:space="preserve">󰊱-3. 미사용연차수당: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4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4"/>
            <x:color rgb="ff000000"/>
          </x:rPr>
        </mc:Fallback>
      </mc:AlternateContent>
      <x:t>미사용 연차시간을 시간급 통상임금에 비례하여 계산함</x:t>
    </x:r>
  </x:si>
  <x:si>
    <x:t>* 1일 소정근로시간 미만의 지각·조퇴·외출 제외, 소수점 첫째자리에서 버림</x:t>
  </x:si>
  <x:si>
    <x:t>제2조 【협약의 갱신】 협약의 유효기간 만료일 30일 전까지 당사자 모두 협약 변경의 의사가 없는 경우 이 협약은 새로 체결된 것으로 본다.</x:t>
  </x:si>
  <x:si>
    <x:t xml:space="preserve">  ③ 협약의 유효기간이 경과한 후에도 새로운 단체협약이 체결되지 아니한 때에는 새로운 단체협약이 체결될 때까지 이 협약의 효력을 존속시킨다.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</x:si>
  <x:si>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000000"/>
          </x:rPr>
        </mc:Fallback>
      </mc:AlternateContent>
      <x:t xml:space="preserve">(`18~`24년 계속근무=연차17일)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ff0000"/>
          </x:rPr>
        </mc:Fallback>
      </mc:AlternateContent>
      <x:t>2025학년도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000000"/>
          </x:rPr>
        </mc:Fallback>
      </mc:AlternateContent>
      <x:t xml:space="preserve">(주36시간→주40시간)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ff0000"/>
          </x:rPr>
        </mc:Fallback>
      </mc:AlternateContent>
      <x:t xml:space="preserve">연차일(시간)·미사용연차수당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000000"/>
          </x:rPr>
        </mc:Fallback>
      </mc:AlternateContent>
      <x:t>계산방법(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HY헤드라인M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HY헤드라인M"/>
            <x:sz val="16"/>
            <x:color rgb="ffff0000"/>
          </x:rPr>
        </mc:Fallback>
      </mc:AlternateContent>
      <x:t>①~⑤ 입력시 자동계산)</x:t>
    </x:r>
  </x:si>
  <x:si>
    <x:t>제6조 【사립학교 조합원에 대한 적용】① 도교육청은 사립학교에 근무하는 조합원과 해당 학교법인 간에 별도의 협약이 없는 경우 본 협약의 내용이 준용될 수 있도록 권고한다.</x:t>
  </x:si>
  <x:si>
    <x:t>제7조 【인력풀제 운영】 ① 도교육청은 근로자의 학생수 및 학급수 감소, 폐교 등 부득이한 사유 발생 시 고용유지를 위한 인력풀제도를 각 교육지원청 단위로 운영한다.</x:t>
  </x:si>
  <x:si>
    <x:t>【인력풀제 운영】 도교육청은 근로자의 학생수 및 학급수 감소, 폐교 등 부득이한 사유 발생 시 고용유지를 위한 인력풀제도를 각 교육지원 청 단위로 운영한다.</x:t>
  </x:si>
  <x:si>
    <x:t>제8조 【준용】 이 협약에 명시되지 아니한 사항은 노동 관련 법규 및 노사 합의된 노동관습에 따른다.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</x:si>
  <x:si>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  <x:b val="1"/>
          </x:rPr>
        </mc:Fallback>
      </mc:AlternateContent>
      <x:t xml:space="preserve">󰊱-2. 사용 연차일(시간) 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4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4"/>
            <x:color rgb="ff000000"/>
          </x:rPr>
        </mc:Fallback>
      </mc:AlternateContent>
      <x:t>기간별 연차사용내역을 시간으로 환산하여 총 합산(근로시간 단위별로 구분)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</x:si>
  <x:si>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000000"/>
            <x:b val="1"/>
          </x:rPr>
        </mc:Fallback>
      </mc:AlternateContent>
      <x:t>󰊱-1. 생성 연차일(시간)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4"/>
            <x:color rgb="ff000000"/>
            <x:b val="1"/>
          </x:rPr>
        </mc:Fallback>
      </mc:AlternateContent>
      <x:t xml:space="preserve"> 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4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4"/>
            <x:color rgb="ff000000"/>
          </x:rPr>
        </mc:Fallback>
      </mc:AlternateContent>
      <x:t>시설당직원의 연차휴가를 통상근로자(일8시간) 기준으로 환산</x:t>
    </x:r>
  </x:si>
  <x:si>
    <x:t>도교육청은 사립학교에 근무하는 조합원에 대해서도 노동관계법령을 준용할 수 있도록 지도한다.</x:t>
  </x:si>
  <x:si>
    <x:t>근로기준법 제63조에 따라 감시·단속적 근로에 종사하는 자로서 고용노 동부 장관의 승인을 받은 자는 제67조[노동시간], 제68조[휴게시간], 제69조[연장·야간·휴일노동](야간근로에 관한 사항 제외), 제70조[유급휴일](근로자 의 날 제외) 관한 사항은 적용하지 아니한다</x:t>
  </x:si>
  <x:si>
    <x:t xml:space="preserve">  ⑤ 근로기준법 제63조에 따라 감시·단속적 근로에 종사하는 자로서 고용노동부 장관의 승인을 받은 자는 제67조[노동시간], 제68조[휴게시간], 제69조 [연장·야간·휴일노동](야간근로에 관한 사항 제외), 제70조[유급휴일](근로자의 날 제외) 관한 사항은 적용하지 아니한다.
</x:t>
  </x:si>
  <x:si>
    <x:t>기존 협약(기본협약사항)</x:t>
  </x:si>
  <x:si>
    <x:t>갱신요구안(기본협약사항)</x:t>
  </x:si>
  <x:si>
    <x:t>'일단위' 연차시간
(B)</x:t>
  </x:si>
  <x:si>
    <x:t>근로자의 날 유급휴일 제외</x:t>
  </x:si>
  <x:si>
    <x:t>근로시간×사용일수(시간)</x:t>
  </x:si>
  <x:si>
    <x:t>(예시)`25.2월 기준액</x:t>
  </x:si>
  <x:si>
    <x:t>`25.3월~`26.2월</x:t>
  </x:si>
  <x:si>
    <x:t>부여된 총 연차시간(A)</x:t>
  </x:si>
  <x:si>
    <x:t>제4조 【적용시기】 본 협약은 2023. 3. 1.부터 적용한다.(예시)</x:t>
  </x:si>
  <x:si>
    <x:r>
      <x:t xml:space="preserve">◈ 2024학년도 </x:t>
    </x:r>
    <x:r>
      <x:rPr>
        <x:rFont val="맑은 고딕"/>
        <x:sz val="12"/>
        <x:color rgb="ff000000"/>
      </x:rPr>
      <x:t>(`24.3.1.~`25.2.28.)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4"/>
            <x:color rgb="ff000000"/>
            <x:b val="1"/>
          </x:rPr>
        </mc:Fallback>
      </mc:AlternateContent>
      <x:t>일소정근로시간 6시간</x:t>
    </x:r>
  </x:si>
  <x:si>
    <x:t>제1조 【유효기간】 ① 이 협약의 유효기간은 체결일로부터 2년으로 한다.</x:t>
  </x:si>
  <x:si>
    <x:t xml:space="preserve">대체근로자의 경우 제39조[휴직 사유와 기간] 제1항 제2호 및 제2항, 제92조[육아휴직]를 적용하지 아니한다. </x:t>
  </x:si>
  <x:si>
    <x:t>* 단시간근로자 연차휴가=통상근로자의 연차유급휴가일수×(단시간 근로자의 소정근로시간/통상근로자의 소정근로시간)×8)</x:t>
  </x:si>
  <x:si>
    <x:t>* 단시간근로자 연차휴가시간=통상근로자의 연차유급휴가일수×(단시간 근로자의 소정근로시간/통상근로자의 소정근로시간)×8)</x:t>
  </x:si>
  <x:si>
    <x:t>특수운영직군에 대하여는 제38조[정년], 제39조[휴직 사유와 기간] 제2 항, 제92조[육아휴직]를 적용하지 아니한다.</x:t>
  </x:si>
  <x:si>
    <x:t>월</x:t>
  </x:si>
  <x:si>
    <x:t>조</x:t>
  </x:si>
  <x:si>
    <x:t>내용</x:t>
  </x:si>
  <x:si>
    <x:t>구분</x:t>
  </x:si>
  <x:si>
    <x:t>6월</x:t>
  </x:si>
  <x:si>
    <x:t>기본급</x:t>
  </x:si>
  <x:si>
    <x:t>절</x:t>
  </x:si>
  <x:si>
    <x:t>×</x:t>
  </x:si>
  <x:si>
    <x:t>4월</x:t>
  </x:si>
  <x:si>
    <x:t>=</x:t>
  </x:si>
  <x:si>
    <x:t>8월</x:t>
  </x:si>
  <x:si>
    <x:t>7월</x:t>
  </x:si>
  <x:si>
    <x:t>계</x:t>
  </x:si>
  <x:si>
    <x:t>3월</x:t>
  </x:si>
  <x:si>
    <x:t>12월</x:t>
  </x:si>
  <x:si>
    <x:t>11월</x:t>
  </x:si>
  <x:si>
    <x:t>비고</x:t>
  </x:si>
  <x:si>
    <x:t>항</x:t>
  </x:si>
  <x:si>
    <x:t>2월</x:t>
  </x:si>
  <x:si>
    <x:t>연도</x:t>
  </x:si>
  <x:si>
    <x:t>10월</x:t>
  </x:si>
  <x:si>
    <x:t>화</x:t>
  </x:si>
  <x:si>
    <x:t>1월</x:t>
  </x:si>
  <x:si>
    <x:t xml:space="preserve"> </x:t>
  </x:si>
  <x:si>
    <x:t>9월</x:t>
  </x:si>
  <x:si>
    <x:t>부칙</x:t>
  </x:si>
  <x:si>
    <x:t>본문</x:t>
  </x:si>
  <x:si>
    <x:t>합계</x:t>
  </x:si>
  <x:si>
    <x:t>일</x:t>
  </x:si>
  <x:si>
    <x:t>수</x:t>
  </x:si>
  <x:si>
    <x:t>금</x:t>
  </x:si>
  <x:si>
    <x:t>5월</x:t>
  </x:si>
  <x:si>
    <x:t>➜</x:t>
  </x:si>
  <x:si>
    <x:t>근로일</x:t>
  </x:si>
  <x:si>
    <x:t>목</x:t>
  </x:si>
  <x:si>
    <x:t>토</x:t>
  </x:si>
  <x:si>
    <x:t>+</x:t>
  </x:si>
  <x:si>
    <x:t>2022년도 경기도교육청-경기학교비정규직연대회의 단체교섭(안)-부칙</x:t>
  </x:si>
  <x:si>
    <x:t>** 총 합산시간에서 1일 소정근로시간 미만의 지각·조퇴·외출 제외</x:t>
  </x:si>
  <x:si>
    <x:t xml:space="preserve">   3-1. '일단위' 연차 사용일수를 시간단위로 환산</x:t>
  </x:si>
  <x:si>
    <x:t>(E)1일 소정근로시간 미만의 
지각·조퇴·외출 제외*</x:t>
  </x:si>
  <x:si>
    <x:t>* 휴무일을 제외한 근무일별 근로시간 합계×4.345주</x:t>
  </x:si>
  <x:si>
    <x:t>* (휴무일을 제외한 근무일별 근로시간 합계)/6일</x:t>
  </x:si>
  <x:si>
    <x:t>2026년</x:t>
  </x:si>
  <x:si>
    <x:t>해당 기간</x:t>
  </x:si>
  <x:si>
    <x:t>검토내용</x:t>
  </x:si>
  <x:si>
    <x:t>정기상여금</x:t>
  </x:si>
  <x:si>
    <x:t>근로시간 단위</x:t>
  </x:si>
  <x:si>
    <x:t>토요일휴무</x:t>
  </x:si>
  <x:si>
    <x:t>해당기간</x:t>
  </x:si>
  <x:si>
    <x:t>사용일수</x:t>
  </x:si>
  <x:si>
    <x:t>정액급식비</x:t>
  </x:si>
  <x:si>
    <x:t>명절휴가비</x:t>
  </x:si>
  <x:si>
    <x:t>급여항목</x:t>
  </x:si>
  <x:si>
    <x:t>※ 전문제외</x:t>
  </x:si>
  <x:si>
    <x:t>[기본]</x:t>
  </x:si>
  <x:si>
    <x:t>지각(a)</x:t>
  </x:si>
  <x:si>
    <x:t>노조요구안</x:t>
  </x:si>
  <x:si>
    <x:t>기존협약안</x:t>
  </x:si>
  <x:si>
    <x:t>검 토 의 견</x:t>
  </x:si>
  <x:si>
    <x:t>소관부서</x:t>
  </x:si>
  <x:si>
    <x:t>2024년</x:t>
  </x:si>
  <x:si>
    <x:t>외출(c)</x:t>
  </x:si>
  <x:si>
    <x:t>일요일휴무</x:t>
  </x:si>
  <x:si>
    <x:t>근로요일</x:t>
  </x:si>
  <x:si>
    <x:t>근무시간</x:t>
  </x:si>
  <x:si>
    <x:t>연차 부여일수</x:t>
  </x:si>
  <x:si>
    <x:t>2025년</x:t>
  </x:si>
  <x:si>
    <x:t>[가산]</x:t>
  </x:si>
  <x:si>
    <x:t>연차사용일수</x:t>
  </x:si>
  <x:si>
    <x:t>조퇴(b)</x:t>
  </x:si>
  <x:si>
    <x:t>지각·조퇴·외출
 총 합산 시간**</x:t>
  </x:si>
  <x:si>
    <x:t>월 통상임금
산정 기준 근로시간*</x:t>
  </x:si>
  <x:si>
    <x:t>수정 - 148항
신설 - 457항</x:t>
  </x:si>
  <x:si>
    <x:t>회계연도 마지막 월(月) 기준</x:t>
  </x:si>
  <x:si>
    <x:t>통상근로자(8시간) 기준(시간)</x:t>
  </x:si>
  <x:si>
    <x:t>월 통상임금
산정 기준 근로시간</x:t>
  </x:si>
  <x:si>
    <x:t>설 당일 1일 유급휴무일 제외</x:t>
  </x:si>
  <x:si>
    <x:t>수정여부
(현행유지, 수정제시)</x:t>
  </x:si>
  <x:si>
    <x:t>총 사용 시간(D=a+b+c)</x:t>
  </x:si>
  <x:si>
    <x:t>미사용 연차(시간)
(A-B-C)</x:t>
  </x:si>
  <x:si>
    <x:t>&lt;'일단위' 연차 사용 현황&gt;</x:t>
  </x:si>
  <x:si>
    <x:t>통상근로자(8시간) 기준(일)</x:t>
  </x:si>
  <x:si>
    <x:t>'시간 단위'
지각·조퇴·외출(C)</x:t>
  </x:si>
  <x:si>
    <x:t>'일단위' 환산(d/6.67시간)*</x:t>
  </x:si>
  <x:si>
    <x:t>추석 당일 1일 유급휴무일 제외</x:t>
  </x:si>
  <x:si>
    <x:t>총 사용 시간(d=a+b+c)</x:t>
  </x:si>
  <x:si>
    <x:r>
      <x:t>협약의 유효기간 중 노사 일방은 협약을 해지할 수 없다</x:t>
    </x:r>
    <x:r>
      <x:rPr>
        <x:rFont val="맑은 고딕"/>
        <x:sz val="10"/>
        <x:color rgb="ff000000"/>
      </x:rPr>
      <x:t>.</x:t>
    </x:r>
  </x:si>
  <x:si>
    <x:r>
      <x:t>임금협약은 별도로 정하되</x:t>
    </x:r>
    <x:r>
      <x:rPr>
        <x:rFont val="맑은 고딕"/>
        <x:sz val="10"/>
        <x:color rgb="ff000000"/>
      </x:rPr>
      <x:t>, 그 유효기간은 1년으로 한다.</x:t>
    </x:r>
  </x:si>
  <x:si>
    <x:r>
      <x:t xml:space="preserve">지각·조퇴·외출 총 합산 시간**
</x:t>
    </x:r>
    <x:r>
      <x:rPr>
        <x:rFont val="맑은 고딕"/>
        <x:sz val="12"/>
        <x:color rgb="ff000000"/>
      </x:rPr>
      <x:t>(F=E*6.67시간)</x:t>
    </x:r>
  </x:si>
  <x:si>
    <x:t>`25.3월~12월</x:t>
  </x:si>
  <x:si>
    <x:t>`26.1월~2월</x:t>
  </x:si>
  <x:si>
    <x:t>1일 소정근로시간*</x:t>
  </x:si>
  <x:si>
    <x:t>총 연차 사용시간</x:t>
  </x:si>
  <x:si>
    <x:t>월 소정근로일수</x:t>
  </x:si>
  <x:si>
    <x:r>
      <x:rPr>
        <x:rFont val="맑은 고딕"/>
        <x:sz val="9"/>
        <x:color rgb="ff000000"/>
        <x:b val="1"/>
      </x:rPr>
      <x:t>구분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000000"/>
            <x:b val="1"/>
          </x:rPr>
        </mc:Fallback>
      </mc:AlternateContent>
      <x:t xml:space="preserve">
(유지, 수정)</x:t>
    </x:r>
  </x:si>
  <x:si>
    <x:t>'일단위' 환산(E=D/6.67시간)*</x:t>
  </x:si>
  <x:si>
    <x:t>3-2. '시간단위' 지각·조퇴·외출 합산</x:t>
  </x:si>
  <x:si>
    <x:t>2025.03.01.~2025.12.31.</x:t>
  </x:si>
  <x:si>
    <x:t>2024.03.01.~2025.02.28.</x:t>
  </x:si>
  <x:si>
    <x:t>&lt;'시간 단위' 지각·조퇴·외출 사용 현황&gt;</x:t>
  </x:si>
  <x:si>
    <x:t xml:space="preserve">2026.01.01.~2026.02.28. </x:t>
  </x:si>
  <x:si>
    <x:t>&lt;회계연도 마지막 월(月)의 시간급 통상임금&gt;</x:t>
  </x:si>
  <x:si>
    <x:r>
      <x:t xml:space="preserve"> ※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4"/>
            <x:color rgb="ffb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4"/>
            <x:color rgb="ffbf0000"/>
            <x:b val="1"/>
          </x:rPr>
        </mc:Fallback>
      </mc:AlternateContent>
      <x:t>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b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bf0000"/>
            <x:b val="1"/>
          </x:rPr>
        </mc:Fallback>
      </mc:AlternateContent>
      <x:t xml:space="preserve"> (보라색 칸) 근로요일별 근무시간 입력</x:t>
    </x:r>
  </x:si>
  <x:si>
    <x:r>
      <x:t xml:space="preserve"> ※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4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4"/>
            <x:color rgb="ffff0000"/>
            <x:b val="1"/>
          </x:rPr>
        </mc:Fallback>
      </mc:AlternateContent>
      <x:t>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3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3"/>
            <x:color rgb="ffff0000"/>
            <x:b val="1"/>
          </x:rPr>
        </mc:Fallback>
      </mc:AlternateContent>
      <x:t xml:space="preserve"> (보라색 칸) 근로요일별 근무시간 입력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</x:si>
</x:sst>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9">
    <x:numFmt numFmtId="164" formatCode="0.00_ "/>
    <x:numFmt numFmtId="165" formatCode="0_ "/>
    <x:numFmt numFmtId="166" formatCode="\총\ General\일"/>
    <x:numFmt numFmtId="167" formatCode="0.0_ \일"/>
    <x:numFmt numFmtId="168" formatCode="0.00_ \일"/>
    <x:numFmt numFmtId="169" formatCode="0.00_ \시\간"/>
    <x:numFmt numFmtId="170" formatCode="_-* #,##0.00_-;\-* #,##0.00_-;_-* &quot;-&quot;_-;_-@_-"/>
    <x:numFmt numFmtId="171" formatCode="0_ \시\간"/>
    <x:numFmt numFmtId="172" formatCode="0.0_ "/>
  </x:numFmts>
  <x:fonts count="4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10"/>
      <x:color rgb="ff000000"/>
    </x:font>
    <x:font>
      <x:name val="맑은 고딕"/>
      <x:sz val="11"/>
      <x:color rgb="ffff0000"/>
      <x:b val="1"/>
    </x:font>
    <x:font>
      <x:name val="맑은 고딕"/>
      <x:sz val="9"/>
      <x:color rgb="ff000000"/>
      <x:b val="1"/>
    </x:font>
    <x:font>
      <x:name val="맑은 고딕"/>
      <x:sz val="12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6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1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9c3b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9c3b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df00d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df00d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df00d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df00d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df00d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df00d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ff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ff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9c3b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9c3b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ff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ff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9c3b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9c3b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df00d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df00d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b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b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4"/>
          <x:color rgb="ffb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4"/>
          <x:color rgb="ffb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4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4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6"/>
          <x:color rgb="ffff0000"/>
          <hs:size val="100"/>
          <hs:ratio val="100"/>
          <hs:spacing val="0"/>
          <hs:offset val="0"/>
        </x:font>
      </mc:Choice>
      <mc:Fallback>
        <x:font>
          <x:name val="HY헤드라인M"/>
          <x:sz val="16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4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4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b900b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b900b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834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834d00"/>
          <x:b val="1"/>
        </x:font>
      </mc:Fallback>
    </mc:AlternateContent>
  </x:fonts>
  <x:fills count="13">
    <x:fill>
      <x:patternFill patternType="none"/>
    </x:fill>
    <x:fill>
      <x:patternFill patternType="gray125"/>
    </x:fill>
    <x:fill>
      <x:patternFill patternType="solid">
        <x:fgColor rgb="ffd7e4bc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ffd700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9bbb59"/>
        <x:bgColor indexed="64"/>
      </x:patternFill>
    </x:fill>
    <x:fill>
      <x:patternFill patternType="solid">
        <x:fgColor rgb="ffa0b4e6"/>
        <x:bgColor indexed="64"/>
      </x:patternFill>
    </x:fill>
    <x:fill>
      <x:patternFill patternType="solid">
        <x:fgColor rgb="ffd8bee4"/>
        <x:bgColor indexed="64"/>
      </x:patternFill>
    </x:fill>
    <x:fill>
      <x:patternFill patternType="solid">
        <x:fgColor rgb="fff0f0f0"/>
        <x:bgColor indexed="64"/>
      </x:patternFill>
    </x:fill>
    <x:fill>
      <x:patternFill patternType="solid">
        <x:fgColor rgb="ffc49dd6"/>
        <x:bgColor indexed="64"/>
      </x:patternFill>
    </x:fill>
    <x:fill>
      <x:patternFill patternType="solid">
        <x:fgColor rgb="ffdfe6f7"/>
        <x:bgColor indexed="64"/>
      </x:patternFill>
    </x:fill>
    <x:fill>
      <x:patternFill patternType="solid">
        <x:fgColor rgb="ffffcccc"/>
        <x:bgColor indexed="64"/>
      </x:patternFill>
    </x:fill>
  </x:fills>
  <x:borders count="5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rgb="ff000000"/>
      </x:left>
      <x:right>
        <x:color rgb="ff000000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>
        <x:color rgb="ff000000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ck">
        <x:color rgb="ff0000ff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ck">
        <x:color rgb="ff0000ff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ck">
        <x:color rgb="ff0000ff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rgb="ff000000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rgb="ff000000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rgb="ff000000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rgb="ff000000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ck">
        <x:color rgb="ff0000ff"/>
      </x:left>
      <x:right style="thick">
        <x:color rgb="ff0000ff"/>
      </x:right>
      <x:top style="thick">
        <x:color rgb="ff0000ff"/>
      </x:top>
      <x:bottom>
        <x:color auto="1"/>
      </x:bottom>
    </x:border>
    <x:border>
      <x:left style="thick">
        <x:color rgb="ff0000ff"/>
      </x:left>
      <x:right style="thick">
        <x:color rgb="ff0000ff"/>
      </x:right>
      <x:top>
        <x:color auto="1"/>
      </x:top>
      <x:bottom>
        <x:color auto="1"/>
      </x:bottom>
    </x:border>
    <x:border>
      <x:left style="thick">
        <x:color rgb="ff0000ff"/>
      </x:left>
      <x:right style="thick">
        <x:color rgb="ff0000ff"/>
      </x:right>
      <x:top>
        <x:color auto="1"/>
      </x:top>
      <x:bottom style="thick">
        <x:color rgb="ff0000ff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37">
    <x:xf numFmtId="0" fontId="0" fillId="0" borderId="0" xfId="1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x:xf numFmtId="0" fontId="8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x:xf numFmtId="0" fontId="7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 applyProtection="1">
          <x:alignment horizontal="center" vertical="center" shrinkToFit="1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1" applyNumberFormat="1" applyFont="1" applyAlignment="1">
          <x:alignment horizontal="center" vertical="center"/>
        </x:xf>
      </mc:Fallback>
    </mc:AlternateContent>
    <x:xf numFmtId="0" fontId="1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1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1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2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2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2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2" fillId="0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2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2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10" fillId="0" borderId="0" xfId="0" applyNumberFormat="1" applyFont="1" applyFill="1" applyBorder="1" applyAlignment="1" applyProtection="1">
      <x:alignment horizontal="left" vertical="center" wrapText="1"/>
    </x:xf>
    <x:xf numFmtId="0" fontId="13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4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2" fillId="5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5" borderId="2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0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5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2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4" fillId="0" borderId="0" xfId="0" applyNumberFormat="1" applyFont="1" applyFill="1" applyBorder="1" applyAlignment="1" applyProtection="1">
      <x:alignment horizontal="general" vertical="center"/>
    </x:xf>
    <x:xf numFmtId="0" fontId="15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6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" xfId="1" applyNumberFormat="1" applyFont="1" applyFill="1" applyBorder="1" applyAlignment="1">
          <x:alignment horizontal="center" vertical="center"/>
        </x:xf>
      </mc:Fallback>
    </mc:AlternateContent>
    <x:xf numFmtId="41" fontId="12" fillId="8" borderId="2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Fill="1" applyBorder="1" applyAlignment="1" applyProtection="1">
          <x:alignment horizontal="right" vertical="center"/>
        </x:xf>
      </mc:Fallback>
    </mc:AlternateContent>
    <x:xf numFmtId="0" fontId="0" fillId="0" borderId="0" xfId="1" applyNumberForma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71" fontId="12" fillId="0" borderId="3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12" fillId="0" borderId="3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10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10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10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10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2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2" fillId="0" borderId="10" xfId="0" applyNumberFormat="1" applyFont="1" applyFill="1" applyBorder="1" applyAlignment="1" applyProtection="1">
          <x:alignment horizontal="center" vertical="center"/>
        </x:xf>
      </mc:Fallback>
    </mc:AlternateContent>
    <x:xf numFmtId="164" fontId="12" fillId="0" borderId="11" xfId="0" applyNumberFormat="1" applyFont="1" applyFill="1" applyBorder="1" applyAlignment="1" applyProtection="1">
      <x:alignment horizontal="general" vertical="center"/>
    </x:xf>
    <x:xf numFmtId="0" fontId="10" fillId="0" borderId="12" xfId="0" applyNumberFormat="1" applyFont="1" applyFill="1" applyBorder="1" applyAlignment="1" applyProtection="1">
      <x:alignment horizontal="general" vertical="center"/>
    </x:xf>
    <x:xf numFmtId="0" fontId="10" fillId="0" borderId="13" xfId="0" applyNumberFormat="1" applyFont="1" applyFill="1" applyBorder="1" applyAlignment="1" applyProtection="1">
      <x:alignment horizontal="general" vertical="center"/>
    </x:xf>
    <x:xf numFmtId="0" fontId="16" fillId="4" borderId="0" xfId="0" applyNumberFormat="1" applyFont="1" applyFill="1" applyBorder="1" applyAlignment="1" applyProtection="1">
      <x:alignment horizontal="general" vertical="center"/>
    </x:xf>
    <x:xf numFmtId="0" fontId="16" fillId="6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5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8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8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6" xfId="0" applyNumberFormat="1" applyFont="1" applyFill="1" applyBorder="1" applyAlignment="1" applyProtection="1">
          <x:alignment horizontal="center" vertical="center"/>
        </x:xf>
      </mc:Fallback>
    </mc:AlternateContent>
    <x:xf numFmtId="164" fontId="10" fillId="0" borderId="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9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2" fillId="11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2" fillId="11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0" borderId="3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0" borderId="31" xfId="0" applyNumberFormat="1" applyFont="1" applyFill="1" applyBorder="1" applyAlignment="1" applyProtection="1">
          <x:alignment horizontal="right" vertical="center"/>
        </x:xf>
      </mc:Fallback>
    </mc:AlternateContent>
    <x:xf numFmtId="170" fontId="20" fillId="0" borderId="32" xfId="0" applyNumberFormat="1" applyFont="1" applyFill="1" applyBorder="1" applyAlignment="1" applyProtection="1">
      <x:alignment horizontal="general" vertical="center"/>
    </x:xf>
    <x:xf numFmtId="165" fontId="21" fillId="0" borderId="32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10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10" fillId="0" borderId="9" xfId="0" applyNumberFormat="1" applyFont="1" applyFill="1" applyBorder="1" applyAlignment="1" applyProtection="1">
          <x:alignment horizontal="center" vertical="center"/>
        </x:xf>
      </mc:Fallback>
    </mc:AlternateContent>
    <x:xf numFmtId="0" fontId="17" fillId="0" borderId="0" xfId="1" applyNumberFormat="1" applyFont="1" applyAlignment="1">
      <x:alignment horizontal="left" vertical="center"/>
    </x:xf>
    <x:xf numFmtId="0" fontId="14" fillId="0" borderId="10" xfId="0" applyNumberFormat="1" applyFont="1" applyFill="1" applyBorder="1" applyAlignment="1" applyProtection="1">
      <x:alignment horizontal="general" vertical="bottom"/>
    </x:xf>
    <x:xf numFmtId="0" fontId="22" fillId="0" borderId="0" xfId="0" applyNumberFormat="1" applyFont="1" applyFill="1" applyBorder="1" applyAlignment="1" applyProtection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12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0" xfId="0" applyNumberFormat="1" applyFont="1" applyFill="1" applyBorder="1" applyAlignment="1" applyProtection="1">
          <x:alignment horizontal="center" vertical="center"/>
        </x:xf>
      </mc:Fallback>
    </mc:AlternateContent>
    <x:xf numFmtId="0" fontId="23" fillId="10" borderId="0" xfId="0" applyNumberFormat="1" applyFont="1" applyFill="1" applyBorder="1" applyAlignment="1" applyProtection="1">
      <x:alignment horizontal="general" vertical="center"/>
    </x:xf>
    <x:xf numFmtId="0" fontId="23" fillId="7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4" fillId="7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7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1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1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25" fillId="0" borderId="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5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16" xfId="0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5" fontId="26" fillId="0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6" fillId="0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6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6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6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0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4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4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4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4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4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4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9" fillId="11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9" fillId="11" borderId="7" xfId="0" applyNumberFormat="1" applyFont="1" applyFill="1" applyBorder="1" applyAlignment="1" applyProtection="1">
          <x:alignment horizontal="center" vertical="center"/>
        </x:xf>
      </mc:Fallback>
    </mc:AlternateContent>
    <x:xf numFmtId="41" fontId="29" fillId="11" borderId="7" xfId="0" applyNumberFormat="1" applyFont="1" applyFill="1" applyBorder="1" applyAlignment="1" applyProtection="1">
      <x:alignment horizontal="general" vertical="center"/>
    </x:xf>
    <x:xf numFmtId="41" fontId="29" fillId="11" borderId="9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7" fillId="7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7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30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30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4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4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4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4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0" borderId="3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0" borderId="3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0" borderId="9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0" borderId="9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0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0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1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1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7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7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10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10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1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1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32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32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33" fillId="0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33" fillId="0" borderId="33" xfId="0" applyNumberFormat="1" applyFont="1" applyFill="1" applyBorder="1" applyAlignment="1" applyProtection="1">
          <x:alignment horizontal="center" vertical="center"/>
        </x:xf>
      </mc:Fallback>
    </mc:AlternateContent>
    <x:xf numFmtId="41" fontId="27" fillId="7" borderId="2" xfId="0" applyNumberFormat="1" applyFont="1" applyFill="1" applyBorder="1" applyAlignment="1" applyProtection="1">
      <x:alignment horizontal="left" vertical="center"/>
    </x:xf>
    <x:xf numFmtId="0" fontId="14" fillId="0" borderId="0" xfId="0" applyNumberFormat="1" applyFont="1" applyFill="1" applyBorder="1" applyAlignment="1" applyProtection="1">
      <x:alignment horizontal="left" vertical="center"/>
    </x:xf>
    <x:xf numFmtId="41" fontId="28" fillId="8" borderId="2" xfId="0" applyNumberFormat="1" applyFont="1" applyFill="1" applyBorder="1" applyAlignment="1" applyProtection="1">
      <x:alignment horizontal="left" vertical="center"/>
    </x:xf>
    <x:xf numFmtId="0" fontId="34" fillId="7" borderId="0" xfId="0" applyNumberFormat="1" applyFont="1" applyFill="1" applyBorder="1" applyAlignment="1" applyProtection="1">
      <x:alignment horizontal="general" vertical="center"/>
    </x:xf>
    <x:xf numFmtId="0" fontId="34" fillId="10" borderId="0" xfId="0" applyNumberFormat="1" applyFont="1" applyFill="1" applyBorder="1" applyAlignment="1" applyProtection="1">
      <x:alignment horizontal="general" vertical="center"/>
    </x:xf>
    <x:xf numFmtId="0" fontId="0" fillId="0" borderId="0" xfId="0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2" borderId="1" xfId="0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2" borderId="1" xfId="0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2" borderId="1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2" borderId="1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9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9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9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10" fillId="0" borderId="0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5" borderId="4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4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4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4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4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4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36" fillId="0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36" fillId="0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36" fillId="0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36" fillId="0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36" fillId="0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36" fillId="0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36" fillId="0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36" fillId="0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36" fillId="0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36" fillId="0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36" fillId="0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36" fillId="0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2" fillId="0" borderId="4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2" fillId="0" borderId="4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2" fillId="0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2" fillId="0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2" fillId="0" borderId="4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2" fillId="0" borderId="4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8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8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9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9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9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9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1" xfId="0" quotePrefix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1" xfId="0" quotePrefix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9" borderId="3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9" borderId="3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9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9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9" borderId="28" xfId="0" quotePrefix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9" borderId="28" xfId="0" quotePrefix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9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9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9" borderId="2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9" borderId="2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9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9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37" fillId="0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37" fillId="0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37" fillId="0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37" fillId="0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37" fillId="0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37" fillId="0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38" fillId="0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38" fillId="0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38" fillId="0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38" fillId="0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38" fillId="0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38" fillId="0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37" fillId="0" borderId="4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37" fillId="0" borderId="4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37" fillId="0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37" fillId="0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37" fillId="0" borderId="4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37" fillId="0" borderId="4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28" fillId="0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28" fillId="0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28" fillId="0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28" fillId="0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28" fillId="0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28" fillId="0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36" fillId="12" borderId="4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36" fillId="12" borderId="4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36" fillId="12" borderId="4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36" fillId="12" borderId="4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36" fillId="12" borderId="4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36" fillId="12" borderId="4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4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4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52" xfId="0" applyNumberFormat="1" applyFont="1" applyFill="1" applyBorder="1" applyAlignment="1" applyProtection="1">
      <x:alignment horizontal="left" vertical="center"/>
    </x:xf>
    <x:xf numFmtId="0" fontId="0" fillId="0" borderId="53" xfId="0" applyNumberFormat="1" applyFont="1" applyFill="1" applyBorder="1" applyAlignment="1" applyProtection="1">
      <x:alignment horizontal="left" vertical="center"/>
    </x:xf>
    <x:xf numFmtId="0" fontId="0" fillId="0" borderId="54" xfId="0" applyNumberFormat="1" applyFont="1" applyFill="1" applyBorder="1" applyAlignment="1" applyProtection="1">
      <x:alignment horizontal="left" vertical="center"/>
    </x:xf>
    <x:xf numFmtId="0" fontId="0" fillId="0" borderId="16" xfId="0" applyNumberFormat="1" applyFont="1" applyFill="1" applyBorder="1" applyAlignment="1" applyProtection="1">
      <x:alignment horizontal="left" vertical="center"/>
    </x:xf>
    <x:xf numFmtId="0" fontId="0" fillId="0" borderId="7" xfId="0" applyNumberFormat="1" applyFont="1" applyFill="1" applyBorder="1" applyAlignment="1" applyProtection="1">
      <x:alignment horizontal="left" vertical="center"/>
    </x:xf>
    <x:xf numFmtId="0" fontId="0" fillId="0" borderId="9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5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4</xdr:col>
      <xdr:colOff>1143000</xdr:colOff>
      <xdr:row>15</xdr:row>
      <xdr:rowOff>76200</xdr:rowOff>
    </xdr:from>
    <xdr:to>
      <xdr:col>9</xdr:col>
      <xdr:colOff>1304925</xdr:colOff>
      <xdr:row>21</xdr:row>
      <xdr:rowOff>38100</xdr:rowOff>
    </xdr:to>
    <xdr:sp fLocksText="1" fPublished="0">
      <xdr:nvSpPr>
        <xdr:cNvPr id="2" name="가로 글상자 1"/>
        <xdr:cNvSpPr txBox="1">
          <a:spLocks noRot="1"/>
        </xdr:cNvSpPr>
      </xdr:nvSpPr>
      <xdr:spPr>
        <a:xfrm>
          <a:off x="4109357" y="6259286"/>
          <a:ext cx="6939642" cy="1700892"/>
        </a:xfrm>
        <a:prstGeom prst="rect">
          <a:avLst/>
        </a:prstGeom>
        <a:noFill/>
        <a:ln w="28575" cap="flat" cmpd="sng" algn="ctr">
          <a:solidFill>
            <a:srgbClr val="b900b9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  <a:r>
            <a:rPr lang="ko-KR" altLang="en-US" sz="1300" b="1">
              <a:solidFill>
                <a:srgbClr val="b900b9"/>
              </a:solidFill>
              <a:latin typeface="맑은 고딕"/>
              <a:ea typeface="맑은 고딕"/>
            </a:rPr>
            <a:t>※ 2025년 사용가능연차일(시간)</a:t>
          </a:r>
        </a:p>
      </xdr:txBody>
    </xdr:sp>
    <xdr:clientData fLocksWithSheet="1" fPrintsWithSheet="1"/>
  </xdr:twoCellAnchor>
  <xdr:twoCellAnchor>
    <xdr:from>
      <xdr:col>6</xdr:col>
      <xdr:colOff>676275</xdr:colOff>
      <xdr:row>39</xdr:row>
      <xdr:rowOff>95250</xdr:rowOff>
    </xdr:from>
    <xdr:to>
      <xdr:col>9</xdr:col>
      <xdr:colOff>485775</xdr:colOff>
      <xdr:row>41</xdr:row>
      <xdr:rowOff>38100</xdr:rowOff>
    </xdr:to>
    <xdr:sp fLocksText="1" fPublished="0">
      <xdr:nvSpPr>
        <xdr:cNvPr id="3" name="가로 글상자 2"/>
        <xdr:cNvSpPr txBox="1">
          <a:spLocks noRot="1"/>
        </xdr:cNvSpPr>
      </xdr:nvSpPr>
      <xdr:spPr>
        <a:xfrm>
          <a:off x="6966857" y="14872607"/>
          <a:ext cx="3265714" cy="952500"/>
        </a:xfrm>
        <a:prstGeom prst="rect">
          <a:avLst/>
        </a:prstGeom>
        <a:noFill/>
        <a:ln w="28575" cap="flat" cmpd="sng" algn="ctr">
          <a:solidFill>
            <a:srgbClr val="b900b9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  <a:r>
            <a:rPr lang="ko-KR" altLang="en-US" sz="1300" b="1">
              <a:solidFill>
                <a:srgbClr val="b900b9"/>
              </a:solidFill>
              <a:latin typeface="맑은 고딕"/>
              <a:ea typeface="맑은 고딕"/>
            </a:rPr>
            <a:t>※ 2025년 미사용연차수당</a:t>
          </a:r>
        </a:p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142875</xdr:colOff>
      <xdr:row>1</xdr:row>
      <xdr:rowOff>457200</xdr:rowOff>
    </xdr:from>
    <xdr:to>
      <xdr:col>10</xdr:col>
      <xdr:colOff>152400</xdr:colOff>
      <xdr:row>5</xdr:row>
      <xdr:rowOff>57150</xdr:rowOff>
    </xdr:to>
    <xdr:sp fLocksText="1" fPublished="0">
      <xdr:nvSpPr>
        <xdr:cNvPr id="4" name="가로 글상자 3"/>
        <xdr:cNvSpPr txBox="1">
          <a:spLocks noRot="1"/>
        </xdr:cNvSpPr>
      </xdr:nvSpPr>
      <xdr:spPr>
        <a:xfrm>
          <a:off x="136071" y="1115785"/>
          <a:ext cx="11225893" cy="1156607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142875</xdr:colOff>
      <xdr:row>15</xdr:row>
      <xdr:rowOff>76200</xdr:rowOff>
    </xdr:from>
    <xdr:to>
      <xdr:col>4</xdr:col>
      <xdr:colOff>76200</xdr:colOff>
      <xdr:row>19</xdr:row>
      <xdr:rowOff>57150</xdr:rowOff>
    </xdr:to>
    <xdr:sp fLocksText="1" fPublished="0">
      <xdr:nvSpPr>
        <xdr:cNvPr id="5" name="가로 글상자 4"/>
        <xdr:cNvSpPr txBox="1">
          <a:spLocks noRot="1"/>
        </xdr:cNvSpPr>
      </xdr:nvSpPr>
      <xdr:spPr>
        <a:xfrm>
          <a:off x="136071" y="6259286"/>
          <a:ext cx="2911928" cy="1279071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</xdr:col>
      <xdr:colOff>1114425</xdr:colOff>
      <xdr:row>41</xdr:row>
      <xdr:rowOff>257175</xdr:rowOff>
    </xdr:from>
    <xdr:to>
      <xdr:col>9</xdr:col>
      <xdr:colOff>638175</xdr:colOff>
      <xdr:row>47</xdr:row>
      <xdr:rowOff>57150</xdr:rowOff>
    </xdr:to>
    <xdr:sp fLocksText="1" fPublished="0">
      <xdr:nvSpPr>
        <xdr:cNvPr id="6" name="가로 글상자 5"/>
        <xdr:cNvSpPr txBox="1">
          <a:spLocks noRot="1"/>
        </xdr:cNvSpPr>
      </xdr:nvSpPr>
      <xdr:spPr>
        <a:xfrm>
          <a:off x="2884714" y="16042821"/>
          <a:ext cx="7497536" cy="1877785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</xdr:wsDr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4</xdr:col>
      <xdr:colOff>914400</xdr:colOff>
      <xdr:row>14</xdr:row>
      <xdr:rowOff>76200</xdr:rowOff>
    </xdr:from>
    <xdr:to>
      <xdr:col>10</xdr:col>
      <xdr:colOff>47625</xdr:colOff>
      <xdr:row>20</xdr:row>
      <xdr:rowOff>38100</xdr:rowOff>
    </xdr:to>
    <xdr:sp fLocksText="1" fPublished="0">
      <xdr:nvSpPr>
        <xdr:cNvPr id="2" name="가로 글상자 1"/>
        <xdr:cNvSpPr txBox="1">
          <a:spLocks noRot="1"/>
        </xdr:cNvSpPr>
      </xdr:nvSpPr>
      <xdr:spPr>
        <a:xfrm>
          <a:off x="3946071" y="5851071"/>
          <a:ext cx="6966857" cy="1700892"/>
        </a:xfrm>
        <a:prstGeom prst="rect">
          <a:avLst/>
        </a:prstGeom>
        <a:noFill/>
        <a:ln w="28575" cap="flat" cmpd="sng" algn="ctr">
          <a:solidFill>
            <a:srgbClr val="834d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  <a:r>
            <a:rPr lang="ko-KR" altLang="en-US" sz="1300" b="1">
              <a:solidFill>
                <a:srgbClr val="834d00"/>
              </a:solidFill>
              <a:latin typeface="맑은 고딕"/>
              <a:ea typeface="맑은 고딕"/>
            </a:rPr>
            <a:t>※ 2026년 사용가능연차일(시간)</a:t>
          </a:r>
        </a:p>
      </xdr:txBody>
    </xdr:sp>
    <xdr:clientData fLocksWithSheet="1" fPrintsWithSheet="1"/>
  </xdr:twoCellAnchor>
  <xdr:twoCellAnchor>
    <xdr:from>
      <xdr:col>6</xdr:col>
      <xdr:colOff>666750</xdr:colOff>
      <xdr:row>37</xdr:row>
      <xdr:rowOff>123824</xdr:rowOff>
    </xdr:from>
    <xdr:to>
      <xdr:col>9</xdr:col>
      <xdr:colOff>609600</xdr:colOff>
      <xdr:row>39</xdr:row>
      <xdr:rowOff>66675</xdr:rowOff>
    </xdr:to>
    <xdr:sp fLocksText="1" fPublished="0">
      <xdr:nvSpPr>
        <xdr:cNvPr id="3" name="가로 글상자 2"/>
        <xdr:cNvSpPr txBox="1">
          <a:spLocks noRot="1"/>
        </xdr:cNvSpPr>
      </xdr:nvSpPr>
      <xdr:spPr>
        <a:xfrm>
          <a:off x="6885214" y="14409964"/>
          <a:ext cx="3279321" cy="952500"/>
        </a:xfrm>
        <a:prstGeom prst="rect">
          <a:avLst/>
        </a:prstGeom>
        <a:noFill/>
        <a:ln w="28575" cap="flat" cmpd="sng" algn="ctr">
          <a:solidFill>
            <a:srgbClr val="834d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  <a:r>
            <a:rPr lang="ko-KR" altLang="en-US" sz="1300" b="1">
              <a:solidFill>
                <a:srgbClr val="834d00"/>
              </a:solidFill>
              <a:latin typeface="맑은 고딕"/>
              <a:ea typeface="맑은 고딕"/>
            </a:rPr>
            <a:t>※ 2026년 미사용연차수당</a:t>
          </a:r>
        </a:p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228600</xdr:colOff>
      <xdr:row>2</xdr:row>
      <xdr:rowOff>228600</xdr:rowOff>
    </xdr:from>
    <xdr:to>
      <xdr:col>10</xdr:col>
      <xdr:colOff>47625</xdr:colOff>
      <xdr:row>5</xdr:row>
      <xdr:rowOff>66675</xdr:rowOff>
    </xdr:to>
    <xdr:sp fLocksText="1" fPublished="0">
      <xdr:nvSpPr>
        <xdr:cNvPr id="4" name="가로 글상자 3"/>
        <xdr:cNvSpPr txBox="1">
          <a:spLocks noRot="1"/>
        </xdr:cNvSpPr>
      </xdr:nvSpPr>
      <xdr:spPr>
        <a:xfrm>
          <a:off x="231321" y="1401535"/>
          <a:ext cx="10681607" cy="884464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228600</xdr:colOff>
      <xdr:row>14</xdr:row>
      <xdr:rowOff>76200</xdr:rowOff>
    </xdr:from>
    <xdr:to>
      <xdr:col>4</xdr:col>
      <xdr:colOff>76200</xdr:colOff>
      <xdr:row>20</xdr:row>
      <xdr:rowOff>38100</xdr:rowOff>
    </xdr:to>
    <xdr:sp fLocksText="1" fPublished="0">
      <xdr:nvSpPr>
        <xdr:cNvPr id="5" name="가로 글상자 4"/>
        <xdr:cNvSpPr txBox="1">
          <a:spLocks noRot="1"/>
        </xdr:cNvSpPr>
      </xdr:nvSpPr>
      <xdr:spPr>
        <a:xfrm>
          <a:off x="231321" y="5851071"/>
          <a:ext cx="2884714" cy="1700892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</xdr:col>
      <xdr:colOff>1104900</xdr:colOff>
      <xdr:row>39</xdr:row>
      <xdr:rowOff>428625</xdr:rowOff>
    </xdr:from>
    <xdr:to>
      <xdr:col>9</xdr:col>
      <xdr:colOff>723900</xdr:colOff>
      <xdr:row>45</xdr:row>
      <xdr:rowOff>76200</xdr:rowOff>
    </xdr:to>
    <xdr:sp fLocksText="1" fPublished="0">
      <xdr:nvSpPr>
        <xdr:cNvPr id="6" name="가로 글상자 5"/>
        <xdr:cNvSpPr txBox="1">
          <a:spLocks noRot="1"/>
        </xdr:cNvSpPr>
      </xdr:nvSpPr>
      <xdr:spPr>
        <a:xfrm>
          <a:off x="2952750" y="15716251"/>
          <a:ext cx="7320643" cy="2204357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</xdr:wsDr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4</xdr:col>
      <xdr:colOff>609600</xdr:colOff>
      <xdr:row>14</xdr:row>
      <xdr:rowOff>95250</xdr:rowOff>
    </xdr:from>
    <xdr:to>
      <xdr:col>9</xdr:col>
      <xdr:colOff>1285875</xdr:colOff>
      <xdr:row>20</xdr:row>
      <xdr:rowOff>57150</xdr:rowOff>
    </xdr:to>
    <xdr:sp fLocksText="1" fPublished="0">
      <xdr:nvSpPr>
        <xdr:cNvPr id="2" name="가로 글상자 1"/>
        <xdr:cNvSpPr txBox="1">
          <a:spLocks noRot="1"/>
        </xdr:cNvSpPr>
      </xdr:nvSpPr>
      <xdr:spPr>
        <a:xfrm>
          <a:off x="3660321" y="5864678"/>
          <a:ext cx="6953250" cy="1700892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  <a:r>
            <a:rPr lang="ko-KR" altLang="en-US" sz="1300" b="1">
              <a:solidFill>
                <a:srgbClr val="ff0000"/>
              </a:solidFill>
              <a:latin typeface="맑은 고딕"/>
              <a:ea typeface="맑은 고딕"/>
            </a:rPr>
            <a:t>※ 2026년 사용가능연차일(시간)</a:t>
          </a:r>
        </a:p>
      </xdr:txBody>
    </xdr:sp>
    <xdr:clientData fLocksWithSheet="1" fPrintsWithSheet="1"/>
  </xdr:twoCellAnchor>
  <xdr:twoCellAnchor>
    <xdr:from>
      <xdr:col>6</xdr:col>
      <xdr:colOff>666750</xdr:colOff>
      <xdr:row>37</xdr:row>
      <xdr:rowOff>114300</xdr:rowOff>
    </xdr:from>
    <xdr:to>
      <xdr:col>9</xdr:col>
      <xdr:colOff>609600</xdr:colOff>
      <xdr:row>39</xdr:row>
      <xdr:rowOff>57150</xdr:rowOff>
    </xdr:to>
    <xdr:sp fLocksText="1" fPublished="0">
      <xdr:nvSpPr>
        <xdr:cNvPr id="3" name="가로 글상자 2"/>
        <xdr:cNvSpPr txBox="1">
          <a:spLocks noRot="1"/>
        </xdr:cNvSpPr>
      </xdr:nvSpPr>
      <xdr:spPr>
        <a:xfrm>
          <a:off x="6653892" y="14546036"/>
          <a:ext cx="3279321" cy="952500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  <a:r>
            <a:rPr lang="ko-KR" altLang="en-US" sz="1300" b="1">
              <a:solidFill>
                <a:srgbClr val="ff0000"/>
              </a:solidFill>
              <a:latin typeface="맑은 고딕"/>
              <a:ea typeface="맑은 고딕"/>
            </a:rPr>
            <a:t>※ 2026년 미사용연차수당</a:t>
          </a:r>
        </a:p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228600</xdr:colOff>
      <xdr:row>1</xdr:row>
      <xdr:rowOff>457200</xdr:rowOff>
    </xdr:from>
    <xdr:to>
      <xdr:col>10</xdr:col>
      <xdr:colOff>85724</xdr:colOff>
      <xdr:row>5</xdr:row>
      <xdr:rowOff>85724</xdr:rowOff>
    </xdr:to>
    <xdr:sp fLocksText="1" fPublished="0">
      <xdr:nvSpPr>
        <xdr:cNvPr id="4" name="가로 글상자 3"/>
        <xdr:cNvSpPr txBox="1">
          <a:spLocks noRot="1"/>
        </xdr:cNvSpPr>
      </xdr:nvSpPr>
      <xdr:spPr>
        <a:xfrm>
          <a:off x="231321" y="1115785"/>
          <a:ext cx="10491107" cy="1183821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0</xdr:col>
      <xdr:colOff>228600</xdr:colOff>
      <xdr:row>14</xdr:row>
      <xdr:rowOff>95250</xdr:rowOff>
    </xdr:from>
    <xdr:to>
      <xdr:col>4</xdr:col>
      <xdr:colOff>76200</xdr:colOff>
      <xdr:row>18</xdr:row>
      <xdr:rowOff>19050</xdr:rowOff>
    </xdr:to>
    <xdr:sp fLocksText="1" fPublished="0">
      <xdr:nvSpPr>
        <xdr:cNvPr id="5" name="가로 글상자 4"/>
        <xdr:cNvSpPr txBox="1">
          <a:spLocks noRot="1"/>
        </xdr:cNvSpPr>
      </xdr:nvSpPr>
      <xdr:spPr>
        <a:xfrm>
          <a:off x="231321" y="5864678"/>
          <a:ext cx="2898321" cy="1224642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</xdr:col>
      <xdr:colOff>1123950</xdr:colOff>
      <xdr:row>39</xdr:row>
      <xdr:rowOff>428625</xdr:rowOff>
    </xdr:from>
    <xdr:to>
      <xdr:col>9</xdr:col>
      <xdr:colOff>723900</xdr:colOff>
      <xdr:row>45</xdr:row>
      <xdr:rowOff>38100</xdr:rowOff>
    </xdr:to>
    <xdr:sp fLocksText="1" fPublished="0">
      <xdr:nvSpPr>
        <xdr:cNvPr id="6" name="가로 글상자 5"/>
        <xdr:cNvSpPr txBox="1">
          <a:spLocks noRot="1"/>
        </xdr:cNvSpPr>
      </xdr:nvSpPr>
      <xdr:spPr>
        <a:xfrm>
          <a:off x="2979964" y="15865929"/>
          <a:ext cx="7062107" cy="2163535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dash"/>
          <a:round/>
          <a:headEnd w="med" len="med"/>
          <a:tailEnd w="med" len="med"/>
        </a:ln>
      </xdr:spPr>
      <xdr:txBody>
        <a:bodyPr vertOverflow="clip" horzOverflow="clip" wrap="square" lIns="14605" tIns="14605" rIns="14605" bIns="14605"/>
        <a:p>
          <a:pPr algn="r" eaLnBrk="0" latinLnBrk="0">
            <a:lnSpc>
              <a:spcPct val="100000"/>
            </a:lnSpc>
          </a:pP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K23"/>
  <x:sheetViews>
    <x:sheetView view="pageBreakPreview" topLeftCell="A1" zoomScale="110" zoomScaleNormal="110" zoomScaleSheetLayoutView="110" workbookViewId="0">
      <x:selection activeCell="G5" activeCellId="0" sqref="G5:G22"/>
    </x:sheetView>
  </x:sheetViews>
  <x:sheetFormatPr defaultColWidth="9" defaultRowHeight="16.39999999999999857891"/>
  <x:cols>
    <x:col min="1" max="2" width="3.625" style="9" customWidth="1"/>
    <x:col min="3" max="3" width="64.875" style="1" customWidth="1"/>
    <x:col min="4" max="4" width="6.5" style="9" customWidth="1"/>
    <x:col min="5" max="5" width="6.25" style="9" customWidth="1"/>
    <x:col min="6" max="6" width="6.875" style="9" customWidth="1"/>
    <x:col min="7" max="7" width="64.875" style="1" customWidth="1"/>
    <x:col min="8" max="8" width="7.875" style="1" customWidth="1"/>
    <x:col min="9" max="10" width="8.75" style="1" customWidth="1"/>
    <x:col min="11" max="11" width="44.125" style="1" customWidth="1"/>
  </x:cols>
  <x:sheetData>
    <x:row r="1" ht="10.5" customHeight="1"/>
    <x:row r="2" spans="1:11" s="3" customFormat="1" ht="32.25" customHeight="1">
      <x:c r="A2" s="146" t="s">
        <x:v>100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</x:row>
    <x:row r="3" spans="1:11" ht="19.5" customHeight="1">
      <x:c r="A3" s="147" t="s">
        <x:v>64</x:v>
      </x:c>
      <x:c r="B3" s="147" t="s">
        <x:v>80</x:v>
      </x:c>
      <x:c r="C3" s="147" t="s">
        <x:v>121</x:v>
      </x:c>
      <x:c r="D3" s="148" t="s">
        <x:v>120</x:v>
      </x:c>
      <x:c r="E3" s="148"/>
      <x:c r="F3" s="148"/>
      <x:c r="G3" s="148"/>
      <x:c r="H3" s="149" t="s">
        <x:v>158</x:v>
      </x:c>
      <x:c r="I3" s="147" t="s">
        <x:v>123</x:v>
      </x:c>
      <x:c r="J3" s="147" t="s">
        <x:v>122</x:v>
      </x:c>
      <x:c r="K3" s="147"/>
    </x:row>
    <x:row r="4" spans="1:11" ht="39.75" customHeight="1">
      <x:c r="A4" s="147"/>
      <x:c r="B4" s="147"/>
      <x:c r="C4" s="147"/>
      <x:c r="D4" s="18" t="s">
        <x:v>69</x:v>
      </x:c>
      <x:c r="E4" s="18" t="s">
        <x:v>64</x:v>
      </x:c>
      <x:c r="F4" s="18" t="s">
        <x:v>80</x:v>
      </x:c>
      <x:c r="G4" s="18" t="s">
        <x:v>65</x:v>
      </x:c>
      <x:c r="H4" s="150"/>
      <x:c r="I4" s="147"/>
      <x:c r="J4" s="8" t="s">
        <x:v>141</x:v>
      </x:c>
      <x:c r="K4" s="7" t="s">
        <x:v>108</x:v>
      </x:c>
    </x:row>
    <x:row r="5" spans="1:11" ht="32.25" customHeight="1">
      <x:c r="A5" s="10">
        <x:v>1</x:v>
      </x:c>
      <x:c r="B5" s="13">
        <x:v>1</x:v>
      </x:c>
      <x:c r="C5" s="15" t="s">
        <x:v>31</x:v>
      </x:c>
      <x:c r="D5" s="4" t="s">
        <x:v>88</x:v>
      </x:c>
      <x:c r="E5" s="4">
        <x:v>1</x:v>
      </x:c>
      <x:c r="F5" s="4">
        <x:v>1</x:v>
      </x:c>
      <x:c r="G5" s="15" t="s">
        <x:v>58</x:v>
      </x:c>
      <x:c r="H5" s="13"/>
      <x:c r="I5" s="13"/>
      <x:c r="J5" s="14"/>
      <x:c r="K5" s="14"/>
    </x:row>
    <x:row r="6" spans="1:11" ht="32.25" customHeight="1">
      <x:c r="A6" s="10">
        <x:v>1</x:v>
      </x:c>
      <x:c r="B6" s="13">
        <x:v>2</x:v>
      </x:c>
      <x:c r="C6" s="15" t="s">
        <x:v>151</x:v>
      </x:c>
      <x:c r="D6" s="4" t="s">
        <x:v>88</x:v>
      </x:c>
      <x:c r="E6" s="4">
        <x:v>1</x:v>
      </x:c>
      <x:c r="F6" s="4">
        <x:v>2</x:v>
      </x:c>
      <x:c r="G6" s="15" t="s">
        <x:v>26</x:v>
      </x:c>
      <x:c r="H6" s="13"/>
      <x:c r="I6" s="13"/>
      <x:c r="J6" s="14"/>
      <x:c r="K6" s="14"/>
    </x:row>
    <x:row r="7" spans="1:11" ht="32.25" customHeight="1">
      <x:c r="A7" s="10">
        <x:v>1</x:v>
      </x:c>
      <x:c r="B7" s="13">
        <x:v>3</x:v>
      </x:c>
      <x:c r="C7" s="15" t="s">
        <x:v>8</x:v>
      </x:c>
      <x:c r="D7" s="4" t="s">
        <x:v>88</x:v>
      </x:c>
      <x:c r="E7" s="4">
        <x:v>1</x:v>
      </x:c>
      <x:c r="F7" s="4">
        <x:v>3</x:v>
      </x:c>
      <x:c r="G7" s="15" t="s">
        <x:v>37</x:v>
      </x:c>
      <x:c r="H7" s="13"/>
      <x:c r="I7" s="13"/>
      <x:c r="J7" s="14"/>
      <x:c r="K7" s="14"/>
    </x:row>
    <x:row r="8" spans="1:11" ht="32.25" customHeight="1">
      <x:c r="A8" s="10">
        <x:v>1</x:v>
      </x:c>
      <x:c r="B8" s="13">
        <x:v>4</x:v>
      </x:c>
      <x:c r="C8" s="15" t="s">
        <x:v>150</x:v>
      </x:c>
      <x:c r="D8" s="4" t="s">
        <x:v>88</x:v>
      </x:c>
      <x:c r="E8" s="4">
        <x:v>1</x:v>
      </x:c>
      <x:c r="F8" s="4">
        <x:v>4</x:v>
      </x:c>
      <x:c r="G8" s="15" t="s">
        <x:v>32</x:v>
      </x:c>
      <x:c r="H8" s="13"/>
      <x:c r="I8" s="13"/>
      <x:c r="J8" s="14"/>
      <x:c r="K8" s="14"/>
    </x:row>
    <x:row r="9" spans="1:11" ht="44.25" customHeight="1">
      <x:c r="A9" s="10">
        <x:v>2</x:v>
      </x:c>
      <x:c r="B9" s="13">
        <x:v>1</x:v>
      </x:c>
      <x:c r="C9" s="15" t="s">
        <x:v>9</x:v>
      </x:c>
      <x:c r="D9" s="4" t="s">
        <x:v>88</x:v>
      </x:c>
      <x:c r="E9" s="4">
        <x:v>2</x:v>
      </x:c>
      <x:c r="F9" s="4">
        <x:v>1</x:v>
      </x:c>
      <x:c r="G9" s="15" t="s">
        <x:v>36</x:v>
      </x:c>
      <x:c r="H9" s="13"/>
      <x:c r="I9" s="13"/>
      <x:c r="J9" s="14"/>
      <x:c r="K9" s="14"/>
    </x:row>
    <x:row r="10" spans="1:11" ht="64.5" customHeight="1">
      <x:c r="A10" s="10">
        <x:v>3</x:v>
      </x:c>
      <x:c r="B10" s="13">
        <x:v>1</x:v>
      </x:c>
      <x:c r="C10" s="15" t="s">
        <x:v>3</x:v>
      </x:c>
      <x:c r="D10" s="4" t="s">
        <x:v>88</x:v>
      </x:c>
      <x:c r="E10" s="4">
        <x:v>3</x:v>
      </x:c>
      <x:c r="F10" s="4">
        <x:v>1</x:v>
      </x:c>
      <x:c r="G10" s="15" t="s">
        <x:v>4</x:v>
      </x:c>
      <x:c r="H10" s="13"/>
      <x:c r="I10" s="13"/>
      <x:c r="J10" s="14"/>
      <x:c r="K10" s="14"/>
    </x:row>
    <x:row r="11" spans="1:11" ht="29.25" customHeight="1">
      <x:c r="A11" s="10">
        <x:v>3</x:v>
      </x:c>
      <x:c r="B11" s="13">
        <x:v>2</x:v>
      </x:c>
      <x:c r="C11" s="15" t="s">
        <x:v>17</x:v>
      </x:c>
      <x:c r="D11" s="4" t="s">
        <x:v>88</x:v>
      </x:c>
      <x:c r="E11" s="4">
        <x:v>3</x:v>
      </x:c>
      <x:c r="F11" s="4">
        <x:v>2</x:v>
      </x:c>
      <x:c r="G11" s="15" t="s">
        <x:v>15</x:v>
      </x:c>
      <x:c r="H11" s="13"/>
      <x:c r="I11" s="13"/>
      <x:c r="J11" s="14"/>
      <x:c r="K11" s="14"/>
    </x:row>
    <x:row r="12" spans="1:11" ht="29.25" customHeight="1">
      <x:c r="A12" s="10">
        <x:v>4</x:v>
      </x:c>
      <x:c r="B12" s="13">
        <x:v>1</x:v>
      </x:c>
      <x:c r="C12" s="15" t="s">
        <x:v>25</x:v>
      </x:c>
      <x:c r="D12" s="4" t="s">
        <x:v>88</x:v>
      </x:c>
      <x:c r="E12" s="4">
        <x:v>4</x:v>
      </x:c>
      <x:c r="F12" s="4">
        <x:v>1</x:v>
      </x:c>
      <x:c r="G12" s="15" t="s">
        <x:v>56</x:v>
      </x:c>
      <x:c r="H12" s="13"/>
      <x:c r="I12" s="13"/>
      <x:c r="J12" s="14"/>
      <x:c r="K12" s="14"/>
    </x:row>
    <x:row r="13" spans="1:11" ht="44.25" customHeight="1">
      <x:c r="A13" s="10">
        <x:v>5</x:v>
      </x:c>
      <x:c r="B13" s="13">
        <x:v>1</x:v>
      </x:c>
      <x:c r="C13" s="15" t="s">
        <x:v>11</x:v>
      </x:c>
      <x:c r="D13" s="4" t="s">
        <x:v>88</x:v>
      </x:c>
      <x:c r="E13" s="4">
        <x:v>5</x:v>
      </x:c>
      <x:c r="F13" s="4">
        <x:v>1</x:v>
      </x:c>
      <x:c r="G13" s="15" t="s">
        <x:v>0</x:v>
      </x:c>
      <x:c r="H13" s="13"/>
      <x:c r="I13" s="13"/>
      <x:c r="J13" s="14"/>
      <x:c r="K13" s="14"/>
    </x:row>
    <x:row r="14" spans="1:11" ht="81" customHeight="1">
      <x:c r="A14" s="10">
        <x:v>5</x:v>
      </x:c>
      <x:c r="B14" s="13">
        <x:v>2</x:v>
      </x:c>
      <x:c r="C14" s="15" t="s">
        <x:v>2</x:v>
      </x:c>
      <x:c r="D14" s="4" t="s">
        <x:v>88</x:v>
      </x:c>
      <x:c r="E14" s="4">
        <x:v>5</x:v>
      </x:c>
      <x:c r="F14" s="4">
        <x:v>2</x:v>
      </x:c>
      <x:c r="G14" s="15" t="s">
        <x:v>23</x:v>
      </x:c>
      <x:c r="H14" s="13"/>
      <x:c r="I14" s="13"/>
      <x:c r="J14" s="14"/>
      <x:c r="K14" s="14"/>
    </x:row>
    <x:row r="15" spans="1:11" ht="44.25" customHeight="1">
      <x:c r="A15" s="10">
        <x:v>5</x:v>
      </x:c>
      <x:c r="B15" s="13">
        <x:v>3</x:v>
      </x:c>
      <x:c r="C15" s="15" t="s">
        <x:v>59</x:v>
      </x:c>
      <x:c r="D15" s="4" t="s">
        <x:v>88</x:v>
      </x:c>
      <x:c r="E15" s="4">
        <x:v>5</x:v>
      </x:c>
      <x:c r="F15" s="4">
        <x:v>3</x:v>
      </x:c>
      <x:c r="G15" s="15" t="s">
        <x:v>20</x:v>
      </x:c>
      <x:c r="H15" s="13"/>
      <x:c r="I15" s="13"/>
      <x:c r="J15" s="14"/>
      <x:c r="K15" s="14"/>
    </x:row>
    <x:row r="16" spans="1:11" ht="44.25" customHeight="1">
      <x:c r="A16" s="10">
        <x:v>5</x:v>
      </x:c>
      <x:c r="B16" s="13">
        <x:v>4</x:v>
      </x:c>
      <x:c r="C16" s="15" t="s">
        <x:v>62</x:v>
      </x:c>
      <x:c r="D16" s="4" t="s">
        <x:v>88</x:v>
      </x:c>
      <x:c r="E16" s="4">
        <x:v>5</x:v>
      </x:c>
      <x:c r="F16" s="4">
        <x:v>4</x:v>
      </x:c>
      <x:c r="G16" s="15" t="s">
        <x:v>19</x:v>
      </x:c>
      <x:c r="H16" s="13"/>
      <x:c r="I16" s="13"/>
      <x:c r="J16" s="14"/>
      <x:c r="K16" s="14"/>
    </x:row>
    <x:row r="17" spans="1:11" ht="71.25" customHeight="1">
      <x:c r="A17" s="10">
        <x:v>5</x:v>
      </x:c>
      <x:c r="B17" s="13">
        <x:v>5</x:v>
      </x:c>
      <x:c r="C17" s="15" t="s">
        <x:v>46</x:v>
      </x:c>
      <x:c r="D17" s="4" t="s">
        <x:v>88</x:v>
      </x:c>
      <x:c r="E17" s="4">
        <x:v>5</x:v>
      </x:c>
      <x:c r="F17" s="4">
        <x:v>5</x:v>
      </x:c>
      <x:c r="G17" s="15" t="s">
        <x:v>47</x:v>
      </x:c>
      <x:c r="H17" s="13"/>
      <x:c r="I17" s="13"/>
      <x:c r="J17" s="14"/>
      <x:c r="K17" s="14"/>
    </x:row>
    <x:row r="18" spans="1:11" ht="44.25" customHeight="1">
      <x:c r="A18" s="10">
        <x:v>6</x:v>
      </x:c>
      <x:c r="B18" s="13">
        <x:v>1</x:v>
      </x:c>
      <x:c r="C18" s="15" t="s">
        <x:v>5</x:v>
      </x:c>
      <x:c r="D18" s="4" t="s">
        <x:v>88</x:v>
      </x:c>
      <x:c r="E18" s="4">
        <x:v>6</x:v>
      </x:c>
      <x:c r="F18" s="4">
        <x:v>1</x:v>
      </x:c>
      <x:c r="G18" s="15" t="s">
        <x:v>39</x:v>
      </x:c>
      <x:c r="H18" s="13"/>
      <x:c r="I18" s="13"/>
      <x:c r="J18" s="14"/>
      <x:c r="K18" s="14"/>
    </x:row>
    <x:row r="19" spans="1:11" ht="44.25" customHeight="1">
      <x:c r="A19" s="10">
        <x:v>6</x:v>
      </x:c>
      <x:c r="B19" s="13"/>
      <x:c r="C19" s="15" t="s">
        <x:v>45</x:v>
      </x:c>
      <x:c r="D19" s="4" t="s">
        <x:v>88</x:v>
      </x:c>
      <x:c r="E19" s="4">
        <x:v>6</x:v>
      </x:c>
      <x:c r="F19" s="4">
        <x:v>2</x:v>
      </x:c>
      <x:c r="G19" s="15" t="s">
        <x:v>10</x:v>
      </x:c>
      <x:c r="H19" s="14"/>
      <x:c r="I19" s="14"/>
      <x:c r="J19" s="14"/>
      <x:c r="K19" s="14"/>
    </x:row>
    <x:row r="20" spans="1:11" ht="44.25" customHeight="1">
      <x:c r="A20" s="5">
        <x:v>7</x:v>
      </x:c>
      <x:c r="B20" s="13">
        <x:v>1</x:v>
      </x:c>
      <x:c r="C20" s="15" t="s">
        <x:v>41</x:v>
      </x:c>
      <x:c r="D20" s="4" t="s">
        <x:v>88</x:v>
      </x:c>
      <x:c r="E20" s="4">
        <x:v>7</x:v>
      </x:c>
      <x:c r="F20" s="4">
        <x:v>1</x:v>
      </x:c>
      <x:c r="G20" s="15" t="s">
        <x:v>40</x:v>
      </x:c>
      <x:c r="H20" s="14"/>
      <x:c r="I20" s="14"/>
      <x:c r="J20" s="14"/>
      <x:c r="K20" s="14"/>
    </x:row>
    <x:row r="21" spans="1:11" ht="44.25" customHeight="1">
      <x:c r="A21" s="5">
        <x:v>7</x:v>
      </x:c>
      <x:c r="B21" s="13"/>
      <x:c r="C21" s="15" t="s">
        <x:v>6</x:v>
      </x:c>
      <x:c r="D21" s="4" t="s">
        <x:v>88</x:v>
      </x:c>
      <x:c r="E21" s="4">
        <x:v>7</x:v>
      </x:c>
      <x:c r="F21" s="4">
        <x:v>2</x:v>
      </x:c>
      <x:c r="G21" s="15" t="s">
        <x:v>7</x:v>
      </x:c>
      <x:c r="H21" s="14"/>
      <x:c r="I21" s="14"/>
      <x:c r="J21" s="14"/>
      <x:c r="K21" s="14"/>
    </x:row>
    <x:row r="22" spans="1:11" ht="44.25" customHeight="1">
      <x:c r="A22" s="5">
        <x:v>8</x:v>
      </x:c>
      <x:c r="B22" s="13">
        <x:v>1</x:v>
      </x:c>
      <x:c r="C22" s="15" t="s">
        <x:v>12</x:v>
      </x:c>
      <x:c r="D22" s="4" t="s">
        <x:v>88</x:v>
      </x:c>
      <x:c r="E22" s="4">
        <x:v>8</x:v>
      </x:c>
      <x:c r="F22" s="4">
        <x:v>1</x:v>
      </x:c>
      <x:c r="G22" s="15" t="s">
        <x:v>42</x:v>
      </x:c>
      <x:c r="H22" s="14"/>
      <x:c r="I22" s="14"/>
      <x:c r="J22" s="14"/>
      <x:c r="K22" s="14"/>
    </x:row>
    <x:row r="23" spans="2:11">
      <x:c r="B23" s="16"/>
      <x:c r="C23" s="17"/>
      <x:c r="D23" s="16"/>
      <x:c r="E23" s="16"/>
      <x:c r="F23" s="16"/>
      <x:c r="G23" s="17"/>
      <x:c r="H23" s="17"/>
      <x:c r="I23" s="17"/>
      <x:c r="J23" s="17"/>
      <x:c r="K23" s="17"/>
    </x:row>
  </x:sheetData>
  <x:mergeCells count="8">
    <x:mergeCell ref="A2:K2"/>
    <x:mergeCell ref="A3:A4"/>
    <x:mergeCell ref="B3:B4"/>
    <x:mergeCell ref="C3:C4"/>
    <x:mergeCell ref="D3:G3"/>
    <x:mergeCell ref="H3:H4"/>
    <x:mergeCell ref="I3:I4"/>
    <x:mergeCell ref="J3:K3"/>
  </x:mergeCells>
  <x:pageMargins left="0.69972223043441772461" right="0.69972223043441772461" top="0.75" bottom="0.75" header="0.30000001192092895508" footer="0.30000001192092895508"/>
  <x:pageSetup paperSize="9" scale="60" firstPageNumber="1" fitToWidth="1" fitToHeight="1" orientation="portrait" usePrinterDefaults="1" blackAndWhite="0" draft="0" useFirstPageNumber="0" horizontalDpi="600" verticalDpi="600" copies="1"/>
  <x:rowBreaks count="1" manualBreakCount="1">
    <x:brk id="22" min="0" max="1048575" man="1" pt="0"/>
  </x:rowBreak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3:I7"/>
  <x:sheetViews>
    <x:sheetView topLeftCell="A1" zoomScaleNormal="100" zoomScaleSheetLayoutView="100" workbookViewId="0">
      <x:selection activeCell="G12" activeCellId="0" sqref="G11:G12"/>
    </x:sheetView>
  </x:sheetViews>
  <x:sheetFormatPr defaultColWidth="9" defaultRowHeight="16.39999999999999857891"/>
  <x:cols>
    <x:col min="2" max="7" width="12.125" style="2" customWidth="1"/>
    <x:col min="8" max="8" width="17.125" style="2" customWidth="1"/>
  </x:cols>
  <x:sheetData>
    <x:row r="1" ht="21.75" customHeight="1"/>
    <x:row r="2" ht="21.75" customHeight="1"/>
    <x:row r="3" spans="1:8" ht="27" customHeight="1">
      <x:c r="A3" s="151" t="s">
        <x:v>66</x:v>
      </x:c>
      <x:c r="B3" s="153" t="s">
        <x:v>48</x:v>
      </x:c>
      <x:c r="C3" s="153"/>
      <x:c r="D3" s="153"/>
      <x:c r="E3" s="153" t="s">
        <x:v>49</x:v>
      </x:c>
      <x:c r="F3" s="153"/>
      <x:c r="G3" s="153"/>
      <x:c r="H3" s="154" t="s">
        <x:v>79</x:v>
      </x:c>
    </x:row>
    <x:row r="4" spans="1:9" ht="27" customHeight="1">
      <x:c r="A4" s="152"/>
      <x:c r="B4" s="5" t="s">
        <x:v>89</x:v>
      </x:c>
      <x:c r="C4" s="5" t="s">
        <x:v>88</x:v>
      </x:c>
      <x:c r="D4" s="12" t="s">
        <x:v>75</x:v>
      </x:c>
      <x:c r="E4" s="5" t="s">
        <x:v>89</x:v>
      </x:c>
      <x:c r="F4" s="5" t="s">
        <x:v>88</x:v>
      </x:c>
      <x:c r="G4" s="12" t="s">
        <x:v>75</x:v>
      </x:c>
      <x:c r="H4" s="154"/>
      <x:c r="I4" s="11"/>
    </x:row>
    <x:row r="5" spans="1:8" ht="27" customHeight="1">
      <x:c r="A5" s="5" t="s">
        <x:v>64</x:v>
      </x:c>
      <x:c r="B5" s="5">
        <x:v>134</x:v>
      </x:c>
      <x:c r="C5" s="5">
        <x:v>8</x:v>
      </x:c>
      <x:c r="D5" s="12">
        <x:f>SUM(B5:C5)</x:f>
        <x:v>142</x:v>
      </x:c>
      <x:c r="E5" s="5">
        <x:v>162</x:v>
      </x:c>
      <x:c r="F5" s="5">
        <x:v>8</x:v>
      </x:c>
      <x:c r="G5" s="12">
        <x:f>SUM(E5:F5)</x:f>
        <x:v>170</x:v>
      </x:c>
      <x:c r="H5" s="155" t="s">
        <x:v>136</x:v>
      </x:c>
    </x:row>
    <x:row r="6" spans="1:8" ht="27" customHeight="1">
      <x:c r="A6" s="5" t="s">
        <x:v>80</x:v>
      </x:c>
      <x:c r="B6" s="5">
        <x:v>402</x:v>
      </x:c>
      <x:c r="C6" s="5">
        <x:v>14</x:v>
      </x:c>
      <x:c r="D6" s="12">
        <x:f>SUM(B6:C6)</x:f>
        <x:v>416</x:v>
      </x:c>
      <x:c r="E6" s="5">
        <x:v>799</x:v>
      </x:c>
      <x:c r="F6" s="5">
        <x:v>18</x:v>
      </x:c>
      <x:c r="G6" s="12">
        <x:f>SUM(E6:F6)</x:f>
        <x:v>817</x:v>
      </x:c>
      <x:c r="H6" s="154"/>
    </x:row>
    <x:row r="7" spans="1:1" ht="24.94999999999999928946" customHeight="1">
      <x:c r="A7" s="6" t="s">
        <x:v>117</x:v>
      </x:c>
    </x:row>
  </x:sheetData>
  <x:mergeCells count="5">
    <x:mergeCell ref="A3:A4"/>
    <x:mergeCell ref="B3:D3"/>
    <x:mergeCell ref="E3:G3"/>
    <x:mergeCell ref="H3:H4"/>
    <x:mergeCell ref="H5:H6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B1:M48"/>
  <x:sheetViews>
    <x:sheetView showGridLines="0" tabSelected="1" topLeftCell="A1" zoomScale="70" zoomScaleNormal="70" zoomScaleSheetLayoutView="70" workbookViewId="0">
      <x:selection activeCell="I11" activeCellId="0" sqref="I11:I11"/>
    </x:sheetView>
  </x:sheetViews>
  <x:sheetFormatPr defaultColWidth="8.796875" defaultRowHeight="16.39999999999999857891"/>
  <x:cols>
    <x:col min="1" max="1" width="3" customWidth="1"/>
    <x:col min="2" max="2" width="14.89453125" customWidth="1"/>
    <x:col min="3" max="3" width="5.3984375" style="20" customWidth="1"/>
    <x:col min="4" max="4" width="15.69921875" style="20" customWidth="1"/>
    <x:col min="5" max="5" width="16.3984375" style="20" customWidth="1"/>
    <x:col min="6" max="6" width="27.1015625" style="20" customWidth="1"/>
    <x:col min="7" max="7" width="9.69921875" style="20" customWidth="1"/>
    <x:col min="8" max="8" width="19.30078125" style="20" customWidth="1"/>
    <x:col min="9" max="9" width="16.30078125" style="20" customWidth="1"/>
    <x:col min="10" max="10" width="19.19921875" style="20" customWidth="1"/>
  </x:cols>
  <x:sheetData>
    <x:row r="1" spans="2:12" ht="51.60000000000000142109" customHeight="1">
      <x:c r="B1" s="156" t="s">
        <x:v>38</x:v>
      </x:c>
      <x:c r="C1" s="156"/>
      <x:c r="D1" s="156"/>
      <x:c r="E1" s="156"/>
      <x:c r="F1" s="156"/>
      <x:c r="G1" s="156"/>
      <x:c r="H1" s="156"/>
      <x:c r="I1" s="156"/>
      <x:c r="J1" s="156"/>
      <x:c r="K1" s="156"/>
      <x:c r="L1" s="156"/>
    </x:row>
    <x:row r="2" spans="2:12" customFormat="1" ht="40.79999999999999715783" customHeight="1">
      <x:c r="B2" s="142" t="s">
        <x:v>13</x:v>
      </x:c>
      <x:c r="C2" s="87"/>
      <x:c r="D2" s="87"/>
      <x:c r="E2" s="87"/>
      <x:c r="F2" s="87"/>
      <x:c r="G2" s="87"/>
      <x:c r="H2" s="87"/>
      <x:c r="I2" s="87"/>
      <x:c r="J2" s="87"/>
      <x:c r="K2" s="87"/>
      <x:c r="L2" s="87"/>
    </x:row>
    <x:row r="3" spans="2:10" s="19" customFormat="1" ht="22.19999999999999928946" customHeight="1">
      <x:c r="B3" s="145" t="s">
        <x:v>166</x:v>
      </x:c>
      <x:c r="C3" s="113"/>
      <x:c r="D3" s="113"/>
      <x:c r="E3" s="113"/>
      <x:c r="F3" s="112"/>
      <x:c r="G3" s="21"/>
      <x:c r="H3" s="21"/>
      <x:c r="I3" s="21"/>
      <x:c r="J3" s="21"/>
    </x:row>
    <x:row r="4" spans="2:12" customFormat="1" ht="30" customHeight="1">
      <x:c r="B4" s="157" t="s">
        <x:v>127</x:v>
      </x:c>
      <x:c r="C4" s="158"/>
      <x:c r="D4" s="88" t="s">
        <x:v>63</x:v>
      </x:c>
      <x:c r="E4" s="88" t="s">
        <x:v>84</x:v>
      </x:c>
      <x:c r="F4" s="88" t="s">
        <x:v>92</x:v>
      </x:c>
      <x:c r="G4" s="88" t="s">
        <x:v>97</x:v>
      </x:c>
      <x:c r="H4" s="88" t="s">
        <x:v>93</x:v>
      </x:c>
      <x:c r="I4" s="88" t="s">
        <x:v>98</x:v>
      </x:c>
      <x:c r="J4" s="89" t="s">
        <x:v>91</x:v>
      </x:c>
      <x:c r="K4" s="87"/>
      <x:c r="L4" s="87"/>
    </x:row>
    <x:row r="5" spans="2:12" customFormat="1" ht="30" customHeight="1">
      <x:c r="B5" s="159" t="s">
        <x:v>128</x:v>
      </x:c>
      <x:c r="C5" s="160"/>
      <x:c r="D5" s="132">
        <x:v>6</x:v>
      </x:c>
      <x:c r="E5" s="132">
        <x:v>6</x:v>
      </x:c>
      <x:c r="F5" s="132">
        <x:v>6</x:v>
      </x:c>
      <x:c r="G5" s="132">
        <x:v>6</x:v>
      </x:c>
      <x:c r="H5" s="132">
        <x:v>6</x:v>
      </x:c>
      <x:c r="I5" s="132">
        <x:v>10</x:v>
      </x:c>
      <x:c r="J5" s="133">
        <x:v>0</x:v>
      </x:c>
      <x:c r="K5" s="87"/>
      <x:c r="L5" s="87"/>
    </x:row>
    <x:row r="7" spans="2:10" customFormat="1" ht="48" customHeight="1">
      <x:c r="B7" s="40" t="s">
        <x:v>57</x:v>
      </x:c>
      <x:c r="C7" s="20"/>
      <x:c r="D7" s="20"/>
      <x:c r="E7" s="20"/>
      <x:c r="F7" s="20"/>
      <x:c r="G7" s="20"/>
      <x:c r="H7" s="20"/>
      <x:c r="I7" s="20"/>
      <x:c r="J7" s="20"/>
    </x:row>
    <x:row r="8" spans="2:8" ht="32" customHeight="1">
      <x:c r="B8" s="44" t="s">
        <x:v>82</x:v>
      </x:c>
      <x:c r="C8" s="161" t="s">
        <x:v>107</x:v>
      </x:c>
      <x:c r="D8" s="161"/>
      <x:c r="E8" s="161"/>
      <x:c r="F8" s="45" t="s">
        <x:v>155</x:v>
      </x:c>
      <x:c r="G8" s="21"/>
      <x:c r="H8" s="21"/>
    </x:row>
    <x:row r="9" spans="2:11" ht="32" customHeight="1">
      <x:c r="B9" s="25" t="s">
        <x:v>124</x:v>
      </x:c>
      <x:c r="C9" s="162" t="s">
        <x:v>162</x:v>
      </x:c>
      <x:c r="D9" s="163"/>
      <x:c r="E9" s="164"/>
      <x:c r="F9" s="33">
        <x:f>(6+6+6+6+6+6)/6</x:f>
        <x:v>6</x:v>
      </x:c>
      <x:c r="G9" s="21"/>
      <x:c r="H9" s="21"/>
      <x:c r="I9" s="23"/>
      <x:c r="J9" s="22"/>
      <x:c r="K9" s="19"/>
    </x:row>
    <x:row r="10" spans="2:10" s="19" customFormat="1" ht="32" customHeight="1">
      <x:c r="B10" s="25" t="s">
        <x:v>130</x:v>
      </x:c>
      <x:c r="C10" s="162" t="s">
        <x:v>161</x:v>
      </x:c>
      <x:c r="D10" s="163"/>
      <x:c r="E10" s="164"/>
      <x:c r="F10" s="33">
        <x:f>(6+6+6+6+6+6)/6</x:f>
        <x:v>6</x:v>
      </x:c>
      <x:c r="G10" s="21"/>
      <x:c r="H10" s="21"/>
      <x:c r="I10" s="22"/>
      <x:c r="J10" s="22"/>
    </x:row>
    <x:row r="11" spans="2:11" customFormat="1" ht="32" customHeight="1">
      <x:c r="B11" s="25" t="s">
        <x:v>106</x:v>
      </x:c>
      <x:c r="C11" s="162" t="s">
        <x:v>164</x:v>
      </x:c>
      <x:c r="D11" s="163"/>
      <x:c r="E11" s="164"/>
      <x:c r="F11" s="26">
        <x:f>(D5+E5+F5+G5+H5+I5+J5)/6</x:f>
        <x:v>6.666666666666667</x:v>
      </x:c>
      <x:c r="G11" s="21" t="s">
        <x:v>95</x:v>
      </x:c>
      <x:c r="H11" s="94" t="s">
        <x:v>135</x:v>
      </x:c>
      <x:c r="I11" s="49">
        <x:v>174</x:v>
      </x:c>
      <x:c r="K11" s="19"/>
    </x:row>
    <x:row r="12" spans="2:10" customFormat="1" ht="28.19999999999999928946" customHeight="1">
      <x:c r="B12" s="165" t="s">
        <x:v>105</x:v>
      </x:c>
      <x:c r="C12" s="165"/>
      <x:c r="D12" s="165"/>
      <x:c r="E12" s="165"/>
      <x:c r="F12" s="165"/>
      <x:c r="G12" s="22"/>
      <x:c r="H12" s="93" t="s">
        <x:v>104</x:v>
      </x:c>
      <x:c r="I12" s="23"/>
      <x:c r="J12" s="22"/>
    </x:row>
    <x:row r="13" spans="2:10" customFormat="1" ht="18.60000000000000142109" customHeight="1">
      <x:c r="B13" s="34"/>
      <x:c r="C13" s="34"/>
      <x:c r="D13" s="34"/>
      <x:c r="E13" s="34"/>
      <x:c r="F13" s="34"/>
      <x:c r="G13" s="22"/>
      <x:c r="H13" s="28"/>
      <x:c r="I13" s="23"/>
      <x:c r="J13" s="22"/>
    </x:row>
    <x:row r="14" spans="2:10" s="19" customFormat="1" ht="48" customHeight="1">
      <x:c r="B14" s="40" t="s">
        <x:v>44</x:v>
      </x:c>
      <x:c r="C14" s="21"/>
      <x:c r="D14" s="21"/>
      <x:c r="E14" s="21"/>
      <x:c r="F14" s="21"/>
      <x:c r="G14" s="21"/>
      <x:c r="H14" s="21"/>
      <x:c r="I14" s="21"/>
      <x:c r="J14" s="21"/>
    </x:row>
    <x:row r="15" spans="2:10" s="19" customFormat="1" ht="22.19999999999999928946" customHeight="1">
      <x:c r="B15" s="144" t="s">
        <x:v>14</x:v>
      </x:c>
      <x:c r="C15" s="111"/>
      <x:c r="D15" s="111"/>
      <x:c r="E15" s="111"/>
      <x:c r="F15" s="111"/>
      <x:c r="G15" s="21"/>
      <x:c r="H15" s="21"/>
      <x:c r="I15" s="21"/>
      <x:c r="J15" s="21"/>
    </x:row>
    <x:row r="16" spans="2:10" s="19" customFormat="1" ht="13.19999999999999928946" customHeight="1">
      <x:c r="B16" s="35"/>
      <x:c r="C16" s="21"/>
      <x:c r="D16" s="21"/>
      <x:c r="E16" s="21"/>
      <x:c r="F16" s="21"/>
      <x:c r="G16" s="21"/>
      <x:c r="H16" s="21"/>
      <x:c r="I16" s="21"/>
      <x:c r="J16" s="21"/>
    </x:row>
    <x:row r="17" spans="2:8" customFormat="1" ht="42" customHeight="1">
      <x:c r="B17" s="166" t="s">
        <x:v>129</x:v>
      </x:c>
      <x:c r="C17" s="167"/>
      <x:c r="D17" s="168"/>
      <x:c r="E17" s="19"/>
      <x:c r="F17" s="37" t="s">
        <x:v>145</x:v>
      </x:c>
      <x:c r="G17" s="19"/>
      <x:c r="H17" s="39" t="s">
        <x:v>138</x:v>
      </x:c>
    </x:row>
    <x:row r="18" spans="2:8" customFormat="1" ht="20.39999999999999857891" customHeight="1">
      <x:c r="B18" s="22" t="s">
        <x:v>118</x:v>
      </x:c>
      <x:c r="C18" s="19"/>
      <x:c r="D18" s="22" t="s">
        <x:v>131</x:v>
      </x:c>
      <x:c r="E18" s="24"/>
      <x:c r="F18" s="19"/>
      <x:c r="G18" s="24"/>
      <x:c r="H18" s="19"/>
    </x:row>
    <x:row r="19" spans="2:8" s="20" customFormat="1" ht="27" customHeight="1">
      <x:c r="B19" s="128">
        <x:v>15</x:v>
      </x:c>
      <x:c r="C19" s="22" t="s">
        <x:v>99</x:v>
      </x:c>
      <x:c r="D19" s="128">
        <x:v>2</x:v>
      </x:c>
      <x:c r="E19" s="169" t="s">
        <x:v>86</x:v>
      </x:c>
      <x:c r="F19" s="170">
        <x:f>(B19+D19)*(F9*6/40)</x:f>
        <x:v>15.300000000000001</x:v>
      </x:c>
      <x:c r="G19" s="169" t="s">
        <x:v>86</x:v>
      </x:c>
      <x:c r="H19" s="173">
        <x:f>(B19+D19)*(F9*6)/40*8</x:f>
        <x:v>122.40000000000001</x:v>
      </x:c>
    </x:row>
    <x:row r="20" spans="2:8" s="20" customFormat="1" ht="7.20000000000000017764" customHeight="1">
      <x:c r="B20" s="22"/>
      <x:c r="C20" s="21"/>
      <x:c r="D20" s="22"/>
      <x:c r="E20" s="169"/>
      <x:c r="F20" s="171"/>
      <x:c r="G20" s="169"/>
      <x:c r="H20" s="174"/>
    </x:row>
    <x:row r="21" spans="2:8" s="20" customFormat="1" ht="27" customHeight="1">
      <x:c r="B21" s="176">
        <x:f>B19+D19</x:f>
        <x:v>17</x:v>
      </x:c>
      <x:c r="C21" s="177"/>
      <x:c r="D21" s="178"/>
      <x:c r="E21" s="169"/>
      <x:c r="F21" s="172"/>
      <x:c r="G21" s="169"/>
      <x:c r="H21" s="175"/>
    </x:row>
    <x:row r="22" spans="2:10" s="29" customFormat="1" ht="27" customHeight="1">
      <x:c r="B22" s="38" t="s">
        <x:v>60</x:v>
      </x:c>
      <x:c r="C22" s="22"/>
      <x:c r="D22" s="30"/>
      <x:c r="E22" s="31"/>
      <x:c r="F22" s="30"/>
      <x:c r="G22" s="22"/>
      <x:c r="H22" s="32"/>
      <x:c r="I22" s="22"/>
      <x:c r="J22" s="27"/>
    </x:row>
    <x:row r="23" spans="2:10" s="29" customFormat="1" ht="27" customHeight="1">
      <x:c r="B23" s="38"/>
      <x:c r="C23" s="22"/>
      <x:c r="D23" s="30"/>
      <x:c r="E23" s="31"/>
      <x:c r="F23" s="30"/>
      <x:c r="G23" s="22"/>
      <x:c r="H23" s="32"/>
      <x:c r="I23" s="22"/>
      <x:c r="J23" s="27"/>
    </x:row>
    <x:row r="24" spans="2:10" s="29" customFormat="1" ht="48" customHeight="1">
      <x:c r="B24" s="41" t="s">
        <x:v>43</x:v>
      </x:c>
      <x:c r="C24" s="22"/>
      <x:c r="D24" s="30"/>
      <x:c r="E24" s="31"/>
      <x:c r="F24" s="30"/>
      <x:c r="G24" s="22"/>
      <x:c r="H24" s="32"/>
      <x:c r="I24" s="22"/>
      <x:c r="J24" s="27"/>
    </x:row>
    <x:row r="25" spans="2:10" s="29" customFormat="1" ht="27" customHeight="1">
      <x:c r="B25" s="41" t="s">
        <x:v>102</x:v>
      </x:c>
      <x:c r="C25" s="22"/>
      <x:c r="D25" s="30"/>
      <x:c r="E25" s="31"/>
      <x:c r="F25" s="30"/>
      <x:c r="G25" s="22"/>
      <x:c r="H25" s="41" t="s">
        <x:v>160</x:v>
      </x:c>
      <x:c r="I25" s="22"/>
      <x:c r="J25" s="27"/>
    </x:row>
    <x:row r="26" spans="2:10" s="19" customFormat="1" ht="22.19999999999999928946" customHeight="1">
      <x:c r="B26" s="65" t="s">
        <x:v>30</x:v>
      </x:c>
      <x:c r="C26" s="36"/>
      <x:c r="D26" s="36"/>
      <x:c r="E26" s="36"/>
      <x:c r="F26" s="36"/>
      <x:c r="G26" s="21"/>
      <x:c r="H26" s="66" t="s">
        <x:v>24</x:v>
      </x:c>
      <x:c r="I26" s="42"/>
      <x:c r="J26" s="42"/>
    </x:row>
    <x:row r="27" spans="2:10" s="19" customFormat="1" ht="12" customHeight="1">
      <x:c r="B27" s="35"/>
      <x:c r="C27" s="21"/>
      <x:c r="D27" s="21"/>
      <x:c r="E27" s="21"/>
      <x:c r="F27" s="21"/>
      <x:c r="G27" s="21"/>
      <x:c r="H27" s="21"/>
      <x:c r="I27" s="21"/>
      <x:c r="J27" s="21"/>
    </x:row>
    <x:row r="28" spans="2:10" s="19" customFormat="1" ht="30" customHeight="1">
      <x:c r="B28" s="179" t="s">
        <x:v>144</x:v>
      </x:c>
      <x:c r="C28" s="179"/>
      <x:c r="D28" s="179"/>
      <x:c r="E28" s="179"/>
      <x:c r="F28" s="179"/>
      <x:c r="G28" s="21"/>
      <x:c r="H28" s="179" t="s">
        <x:v>163</x:v>
      </x:c>
      <x:c r="I28" s="179"/>
      <x:c r="J28" s="179"/>
    </x:row>
    <x:row r="29" spans="2:10" s="19" customFormat="1" ht="4.20000000000000017764" customHeight="1">
      <x:c r="B29" s="35"/>
      <x:c r="C29" s="21"/>
      <x:c r="D29" s="21"/>
      <x:c r="E29" s="21"/>
      <x:c r="F29" s="21"/>
      <x:c r="G29" s="21"/>
      <x:c r="H29" s="21"/>
      <x:c r="I29" s="21"/>
      <x:c r="J29" s="21"/>
    </x:row>
    <x:row r="30" spans="2:10" s="20" customFormat="1" ht="32" customHeight="1">
      <x:c r="B30" s="180" t="s">
        <x:v>112</x:v>
      </x:c>
      <x:c r="C30" s="181"/>
      <x:c r="D30" s="51" t="s">
        <x:v>110</x:v>
      </x:c>
      <x:c r="E30" s="51" t="s">
        <x:v>132</x:v>
      </x:c>
      <x:c r="F30" s="52" t="s">
        <x:v>52</x:v>
      </x:c>
      <x:c r="G30" s="21"/>
      <x:c r="H30" s="55" t="s">
        <x:v>119</x:v>
      </x:c>
      <x:c r="I30" s="56" t="s">
        <x:v>133</x:v>
      </x:c>
      <x:c r="J30" s="57" t="s">
        <x:v>125</x:v>
      </x:c>
    </x:row>
    <x:row r="31" spans="2:10" s="20" customFormat="1" ht="32" customHeight="1">
      <x:c r="B31" s="182" t="s">
        <x:v>153</x:v>
      </x:c>
      <x:c r="C31" s="183"/>
      <x:c r="D31" s="121">
        <x:v>6</x:v>
      </x:c>
      <x:c r="E31" s="122">
        <x:v>1</x:v>
      </x:c>
      <x:c r="F31" s="53">
        <x:f>D31*E31</x:f>
        <x:v>6</x:v>
      </x:c>
      <x:c r="G31" s="22"/>
      <x:c r="H31" s="118">
        <x:v>10</x:v>
      </x:c>
      <x:c r="I31" s="119">
        <x:v>6</x:v>
      </x:c>
      <x:c r="J31" s="120">
        <x:v>7</x:v>
      </x:c>
    </x:row>
    <x:row r="32" spans="2:13" s="20" customFormat="1" ht="32" customHeight="1">
      <x:c r="B32" s="184" t="s">
        <x:v>154</x:v>
      </x:c>
      <x:c r="C32" s="185"/>
      <x:c r="D32" s="123">
        <x:v>6</x:v>
      </x:c>
      <x:c r="E32" s="123">
        <x:v>3</x:v>
      </x:c>
      <x:c r="F32" s="54">
        <x:f>D32*E32</x:f>
        <x:v>18</x:v>
      </x:c>
      <x:c r="G32" s="22"/>
      <x:c r="H32" s="186" t="s">
        <x:v>142</x:v>
      </x:c>
      <x:c r="I32" s="187"/>
      <x:c r="J32" s="103">
        <x:f>H31+I31+J31</x:f>
        <x:v>23</x:v>
      </x:c>
      <x:c r="M32" s="21"/>
    </x:row>
    <x:row r="33" spans="2:13" s="20" customFormat="1" ht="32" customHeight="1">
      <x:c r="B33" s="184"/>
      <x:c r="C33" s="185"/>
      <x:c r="D33" s="124">
        <x:v>10</x:v>
      </x:c>
      <x:c r="E33" s="123">
        <x:v>2</x:v>
      </x:c>
      <x:c r="F33" s="54">
        <x:f>D33*E33</x:f>
        <x:v>20</x:v>
      </x:c>
      <x:c r="G33" s="22"/>
      <x:c r="H33" s="188" t="s">
        <x:v>159</x:v>
      </x:c>
      <x:c r="I33" s="189"/>
      <x:c r="J33" s="104">
        <x:f>J32/F11</x:f>
        <x:v>3.4499999999999997</x:v>
      </x:c>
      <x:c r="M33" s="21"/>
    </x:row>
    <x:row r="34" spans="2:10" customFormat="1" ht="40.79999999999999715783" customHeight="1">
      <x:c r="B34" s="159" t="s">
        <x:v>54</x:v>
      </x:c>
      <x:c r="C34" s="160"/>
      <x:c r="D34" s="190" t="s">
        <x:v>156</x:v>
      </x:c>
      <x:c r="E34" s="191"/>
      <x:c r="F34" s="139">
        <x:f>SUM(F31:F33)</x:f>
        <x:v>44</x:v>
      </x:c>
      <x:c r="G34" s="22"/>
      <x:c r="H34" s="192" t="s">
        <x:v>103</x:v>
      </x:c>
      <x:c r="I34" s="189"/>
      <x:c r="J34" s="59">
        <x:f>ROUNDDOWN(J32/F11,-0.1)</x:f>
        <x:v>3</x:v>
      </x:c>
    </x:row>
    <x:row r="35" spans="2:10" customFormat="1" ht="6.59999999999999964473" customHeight="1">
      <x:c r="B35" s="19"/>
      <x:c r="C35" s="19"/>
      <x:c r="D35" s="19"/>
      <x:c r="E35" s="19"/>
      <x:c r="F35" s="19"/>
      <x:c r="G35" s="19"/>
      <x:c r="H35" s="19"/>
      <x:c r="I35" s="19"/>
      <x:c r="J35" s="19"/>
    </x:row>
    <x:row r="36" spans="2:10" customFormat="1" ht="40" customHeight="1">
      <x:c r="B36" s="19"/>
      <x:c r="C36" s="19"/>
      <x:c r="D36" s="19"/>
      <x:c r="E36" s="19"/>
      <x:c r="F36" s="19"/>
      <x:c r="G36" s="19"/>
      <x:c r="H36" s="193" t="s">
        <x:v>152</x:v>
      </x:c>
      <x:c r="I36" s="194"/>
      <x:c r="J36" s="140">
        <x:f>F11*J34</x:f>
        <x:v>20</x:v>
      </x:c>
    </x:row>
    <x:row r="37" spans="2:10" s="21" customFormat="1" ht="48" customHeight="1">
      <x:c r="B37" s="106" t="s">
        <x:v>34</x:v>
      </x:c>
      <x:c r="C37" s="60"/>
      <x:c r="D37" s="61"/>
      <x:c r="E37" s="30"/>
      <x:c r="F37" s="30"/>
      <x:c r="G37" s="22"/>
      <x:c r="H37" s="107" t="s">
        <x:v>101</x:v>
      </x:c>
      <x:c r="I37" s="19"/>
      <x:c r="J37" s="19"/>
    </x:row>
    <x:row r="38" spans="2:8" s="19" customFormat="1" ht="40" customHeight="1">
      <x:c r="B38" s="195" t="s">
        <x:v>55</x:v>
      </x:c>
      <x:c r="C38" s="196"/>
      <x:c r="D38" s="100">
        <x:f>H19</x:f>
        <x:v>122.40000000000001</x:v>
      </x:c>
      <x:c r="E38" s="63"/>
      <x:c r="H38" s="24"/>
    </x:row>
    <x:row r="39" spans="2:8" s="19" customFormat="1" ht="40" customHeight="1">
      <x:c r="B39" s="197" t="s">
        <x:v>50</x:v>
      </x:c>
      <x:c r="C39" s="198"/>
      <x:c r="D39" s="101">
        <x:f>F34</x:f>
        <x:v>44</x:v>
      </x:c>
      <x:c r="E39" s="63"/>
      <x:c r="G39" s="24"/>
      <x:c r="H39" s="24"/>
    </x:row>
    <x:row r="40" spans="2:8" s="19" customFormat="1" ht="40" customHeight="1">
      <x:c r="B40" s="197" t="s">
        <x:v>146</x:v>
      </x:c>
      <x:c r="C40" s="198"/>
      <x:c r="D40" s="102"/>
      <x:c r="E40" s="64"/>
      <x:c r="F40" s="108" t="s">
        <x:v>165</x:v>
      </x:c>
      <x:c r="H40" s="24"/>
    </x:row>
    <x:row r="41" spans="2:8" ht="40" customHeight="1">
      <x:c r="B41" s="199" t="s">
        <x:v>143</x:v>
      </x:c>
      <x:c r="C41" s="200"/>
      <x:c r="D41" s="62">
        <x:f>D38-D39-D40</x:f>
        <x:v>78.400000000000006</x:v>
      </x:c>
      <x:c r="E41" s="60" t="s">
        <x:v>70</x:v>
      </x:c>
      <x:c r="F41" s="99">
        <x:f>((F44*40/48)+F45+(F46*(40/40)/12)+(F47/12))/I11</x:f>
        <x:v>11882.183908045978</x:v>
      </x:c>
      <x:c r="G41" s="22" t="s">
        <x:v>72</x:v>
      </x:c>
      <x:c r="H41" s="141">
        <x:f>ROUNDDOWN(D41*F41,-1)</x:f>
        <x:v>931560</x:v>
      </x:c>
    </x:row>
    <x:row r="42" spans="5:10" ht="24.60000000000000142109" customHeight="1">
      <x:c r="E42" s="19"/>
      <x:c r="F42" s="48" t="s">
        <x:v>33</x:v>
      </x:c>
      <x:c r="I42" s="19"/>
      <x:c r="J42" s="19"/>
    </x:row>
    <x:row r="43" spans="3:10" customFormat="1" ht="32" customHeight="1">
      <x:c r="C43" s="20"/>
      <x:c r="D43" s="20"/>
      <x:c r="E43" s="98" t="s">
        <x:v>116</x:v>
      </x:c>
      <x:c r="F43" s="115" t="s">
        <x:v>137</x:v>
      </x:c>
      <x:c r="G43" s="116" t="s">
        <x:v>28</x:v>
      </x:c>
      <x:c r="H43" s="20"/>
      <x:c r="I43" s="19"/>
      <x:c r="J43" s="19"/>
    </x:row>
    <x:row r="44" spans="2:7" ht="27" customHeight="1">
      <x:c r="B44" s="19"/>
      <x:c r="C44" s="19"/>
      <x:c r="D44" s="19"/>
      <x:c r="E44" s="97" t="s">
        <x:v>68</x:v>
      </x:c>
      <x:c r="F44" s="125">
        <x:v>2066000</x:v>
      </x:c>
      <x:c r="G44" s="114" t="s">
        <x:v>53</x:v>
      </x:c>
    </x:row>
    <x:row r="45" spans="2:7" ht="27" customHeight="1">
      <x:c r="B45" s="19"/>
      <x:c r="C45" s="19"/>
      <x:c r="D45" s="19"/>
      <x:c r="E45" s="97" t="s">
        <x:v>114</x:v>
      </x:c>
      <x:c r="F45" s="126">
        <x:v>150000</x:v>
      </x:c>
      <x:c r="G45" s="114" t="s">
        <x:v>53</x:v>
      </x:c>
    </x:row>
    <x:row r="46" spans="2:7" ht="27" customHeight="1">
      <x:c r="B46" s="19"/>
      <x:c r="C46" s="19"/>
      <x:c r="D46" s="19"/>
      <x:c r="E46" s="97" t="s">
        <x:v>115</x:v>
      </x:c>
      <x:c r="F46" s="126">
        <x:v>1850000</x:v>
      </x:c>
      <x:c r="G46" s="114" t="s">
        <x:v>53</x:v>
      </x:c>
    </x:row>
    <x:row r="47" spans="2:7" ht="27" customHeight="1">
      <x:c r="B47" s="19"/>
      <x:c r="C47" s="19"/>
      <x:c r="D47" s="19"/>
      <x:c r="E47" s="96" t="s">
        <x:v>109</x:v>
      </x:c>
      <x:c r="F47" s="127">
        <x:v>500000</x:v>
      </x:c>
      <x:c r="G47" s="114" t="s">
        <x:v>53</x:v>
      </x:c>
    </x:row>
    <x:row r="48" spans="6:7">
      <x:c r="F48" s="21"/>
      <x:c r="G48" s="19"/>
    </x:row>
  </x:sheetData>
  <x:mergeCells count="29">
    <x:mergeCell ref="B1:L1"/>
    <x:mergeCell ref="B4:C4"/>
    <x:mergeCell ref="B5:C5"/>
    <x:mergeCell ref="C8:E8"/>
    <x:mergeCell ref="C9:E9"/>
    <x:mergeCell ref="C10:E10"/>
    <x:mergeCell ref="C11:E11"/>
    <x:mergeCell ref="B12:F12"/>
    <x:mergeCell ref="B17:D17"/>
    <x:mergeCell ref="E19:E21"/>
    <x:mergeCell ref="F19:F21"/>
    <x:mergeCell ref="G19:G21"/>
    <x:mergeCell ref="H19:H21"/>
    <x:mergeCell ref="B21:D21"/>
    <x:mergeCell ref="B28:F28"/>
    <x:mergeCell ref="H28:J28"/>
    <x:mergeCell ref="B30:C30"/>
    <x:mergeCell ref="B31:C31"/>
    <x:mergeCell ref="B32:C33"/>
    <x:mergeCell ref="H32:I32"/>
    <x:mergeCell ref="H33:I33"/>
    <x:mergeCell ref="B34:C34"/>
    <x:mergeCell ref="D34:E34"/>
    <x:mergeCell ref="H34:I34"/>
    <x:mergeCell ref="H36:I36"/>
    <x:mergeCell ref="B38:C38"/>
    <x:mergeCell ref="B39:C39"/>
    <x:mergeCell ref="B40:C40"/>
    <x:mergeCell ref="B41:C41"/>
  </x:mergeCells>
  <x:printOptions horizontalCentered="1" verticalCentered="0" headings="0" gridLines="0" gridLinesSet="1"/>
  <x:pageMargins left="0.23430556058883666992" right="0.20000000298023223877" top="0.45916667580604553223" bottom="0.41763889789581298828" header="0.51138889789581298828" footer="0.51138889789581298828"/>
  <x:pageSetup paperSize="9" scale="54" firstPageNumber="1" fitToWidth="1" fitToHeight="1" orientation="portrait" usePrinterDefaults="1" blackAndWhite="0" draft="0" useFirstPageNumber="0" horizontalDpi="0" verticalDpi="0" copies="0"/>
  <x: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pageSetUpPr autoPageBreaks="1" fitToPage="1"/>
  </x:sheetPr>
  <x:dimension ref="B1:M46"/>
  <x:sheetViews>
    <x:sheetView topLeftCell="A19" zoomScale="70" zoomScaleNormal="70" zoomScaleSheetLayoutView="70" workbookViewId="0">
      <x:selection activeCell="J10" activeCellId="0" sqref="J10:J10"/>
    </x:sheetView>
  </x:sheetViews>
  <x:sheetFormatPr defaultColWidth="8.796875" defaultRowHeight="16.39999999999999857891"/>
  <x:cols>
    <x:col min="1" max="1" width="4" customWidth="1"/>
    <x:col min="2" max="2" width="14.89453125" customWidth="1"/>
    <x:col min="3" max="3" width="5.3984375" style="20" customWidth="1"/>
    <x:col min="4" max="4" width="15.69921875" style="20" customWidth="1"/>
    <x:col min="5" max="5" width="13.3984375" style="20" customWidth="1"/>
    <x:col min="6" max="6" width="28.3984375" style="20" customWidth="1"/>
    <x:col min="7" max="7" width="9.69921875" style="20" customWidth="1"/>
    <x:col min="8" max="8" width="17.6015625" style="20" customWidth="1"/>
    <x:col min="9" max="9" width="16.30078125" style="20" customWidth="1"/>
    <x:col min="10" max="10" width="17.30078125" style="20" customWidth="1"/>
  </x:cols>
  <x:sheetData>
    <x:row r="1" spans="2:12" ht="51.60000000000000142109" customHeight="1">
      <x:c r="B1" s="156" t="s">
        <x:v>22</x:v>
      </x:c>
      <x:c r="C1" s="156"/>
      <x:c r="D1" s="156"/>
      <x:c r="E1" s="156"/>
      <x:c r="F1" s="156"/>
      <x:c r="G1" s="156"/>
      <x:c r="H1" s="156"/>
      <x:c r="I1" s="156"/>
      <x:c r="J1" s="156"/>
      <x:c r="K1" s="156"/>
      <x:c r="L1" s="156"/>
    </x:row>
    <x:row r="2" spans="2:12" s="19" customFormat="1" ht="40.79999999999999715783" customHeight="1">
      <x:c r="B2" s="142" t="s">
        <x:v>13</x:v>
      </x:c>
      <x:c r="C2" s="90"/>
      <x:c r="D2" s="90"/>
      <x:c r="E2" s="90"/>
      <x:c r="F2" s="90"/>
      <x:c r="G2" s="90"/>
      <x:c r="H2" s="90"/>
      <x:c r="I2" s="90"/>
      <x:c r="J2" s="90"/>
      <x:c r="K2" s="90"/>
      <x:c r="L2" s="90"/>
    </x:row>
    <x:row r="3" spans="2:10" s="19" customFormat="1" ht="22.19999999999999928946" customHeight="1">
      <x:c r="B3" s="109" t="s">
        <x:v>167</x:v>
      </x:c>
      <x:c r="C3" s="113"/>
      <x:c r="D3" s="113"/>
      <x:c r="E3" s="113"/>
      <x:c r="F3" s="112"/>
      <x:c r="G3" s="21"/>
      <x:c r="H3" s="21"/>
      <x:c r="I3" s="21"/>
      <x:c r="J3" s="21"/>
    </x:row>
    <x:row r="4" spans="2:12" s="19" customFormat="1" ht="30" customHeight="1">
      <x:c r="B4" s="201" t="s">
        <x:v>96</x:v>
      </x:c>
      <x:c r="C4" s="202"/>
      <x:c r="D4" s="91" t="s">
        <x:v>63</x:v>
      </x:c>
      <x:c r="E4" s="91" t="s">
        <x:v>84</x:v>
      </x:c>
      <x:c r="F4" s="91" t="s">
        <x:v>92</x:v>
      </x:c>
      <x:c r="G4" s="91" t="s">
        <x:v>97</x:v>
      </x:c>
      <x:c r="H4" s="91" t="s">
        <x:v>93</x:v>
      </x:c>
      <x:c r="I4" s="91" t="s">
        <x:v>98</x:v>
      </x:c>
      <x:c r="J4" s="92" t="s">
        <x:v>91</x:v>
      </x:c>
      <x:c r="K4" s="90"/>
      <x:c r="L4" s="90"/>
    </x:row>
    <x:row r="5" spans="2:12" s="19" customFormat="1" ht="30" customHeight="1">
      <x:c r="B5" s="159" t="s">
        <x:v>128</x:v>
      </x:c>
      <x:c r="C5" s="160"/>
      <x:c r="D5" s="134">
        <x:v>6</x:v>
      </x:c>
      <x:c r="E5" s="134">
        <x:v>6</x:v>
      </x:c>
      <x:c r="F5" s="134">
        <x:v>6</x:v>
      </x:c>
      <x:c r="G5" s="134">
        <x:v>6</x:v>
      </x:c>
      <x:c r="H5" s="134">
        <x:v>6</x:v>
      </x:c>
      <x:c r="I5" s="134">
        <x:v>10</x:v>
      </x:c>
      <x:c r="J5" s="135">
        <x:v>0</x:v>
      </x:c>
      <x:c r="K5" s="90"/>
      <x:c r="L5" s="90"/>
    </x:row>
    <x:row r="7" spans="2:10" customFormat="1" ht="48" customHeight="1">
      <x:c r="B7" s="40" t="s">
        <x:v>21</x:v>
      </x:c>
      <x:c r="C7" s="20"/>
      <x:c r="D7" s="20"/>
      <x:c r="E7" s="20"/>
      <x:c r="F7" s="20"/>
      <x:c r="G7" s="20"/>
      <x:c r="H7" s="20"/>
      <x:c r="I7" s="20"/>
      <x:c r="J7" s="20"/>
    </x:row>
    <x:row r="8" spans="2:8" ht="32" customHeight="1">
      <x:c r="B8" s="44" t="s">
        <x:v>82</x:v>
      </x:c>
      <x:c r="C8" s="161" t="s">
        <x:v>107</x:v>
      </x:c>
      <x:c r="D8" s="161"/>
      <x:c r="E8" s="161"/>
      <x:c r="F8" s="45" t="s">
        <x:v>155</x:v>
      </x:c>
      <x:c r="G8" s="21"/>
      <x:c r="H8" s="21"/>
    </x:row>
    <x:row r="9" spans="2:10" s="19" customFormat="1" ht="32" customHeight="1">
      <x:c r="B9" s="25" t="s">
        <x:v>130</x:v>
      </x:c>
      <x:c r="C9" s="162" t="s">
        <x:v>161</x:v>
      </x:c>
      <x:c r="D9" s="163"/>
      <x:c r="E9" s="164"/>
      <x:c r="F9" s="33">
        <x:f>(6+6+6+6+6+6)/6</x:f>
        <x:v>6</x:v>
      </x:c>
      <x:c r="G9" s="21"/>
      <x:c r="H9" s="21"/>
      <x:c r="I9" s="22"/>
      <x:c r="J9" s="22"/>
    </x:row>
    <x:row r="10" spans="2:11" customFormat="1" ht="32" customHeight="1">
      <x:c r="B10" s="25" t="s">
        <x:v>106</x:v>
      </x:c>
      <x:c r="C10" s="162" t="s">
        <x:v>164</x:v>
      </x:c>
      <x:c r="D10" s="163"/>
      <x:c r="E10" s="164"/>
      <x:c r="F10" s="26">
        <x:f>(D5+E5+F5+G5+H5+I5+J5)/6</x:f>
        <x:v>6.666666666666667</x:v>
      </x:c>
      <x:c r="G10" s="21"/>
      <x:c r="H10" s="50" t="s">
        <x:v>139</x:v>
      </x:c>
      <x:c r="I10" s="49">
        <x:v>174</x:v>
      </x:c>
      <x:c r="K10" s="19"/>
    </x:row>
    <x:row r="11" spans="2:10" customFormat="1" ht="28.19999999999999928946" customHeight="1">
      <x:c r="B11" s="165" t="s">
        <x:v>105</x:v>
      </x:c>
      <x:c r="C11" s="165"/>
      <x:c r="D11" s="165"/>
      <x:c r="E11" s="165"/>
      <x:c r="F11" s="165"/>
      <x:c r="G11" s="22"/>
      <x:c r="H11" s="93" t="s">
        <x:v>27</x:v>
      </x:c>
      <x:c r="I11" s="23"/>
      <x:c r="J11" s="22"/>
    </x:row>
    <x:row r="12" spans="2:10" customFormat="1" ht="18.60000000000000142109" customHeight="1">
      <x:c r="B12" s="34"/>
      <x:c r="C12" s="34"/>
      <x:c r="D12" s="34"/>
      <x:c r="E12" s="34"/>
      <x:c r="F12" s="34"/>
      <x:c r="G12" s="22"/>
      <x:c r="H12" s="28"/>
      <x:c r="I12" s="23"/>
      <x:c r="J12" s="22"/>
    </x:row>
    <x:row r="13" spans="2:10" s="19" customFormat="1" ht="48" customHeight="1">
      <x:c r="B13" s="40" t="s">
        <x:v>44</x:v>
      </x:c>
      <x:c r="C13" s="21"/>
      <x:c r="D13" s="21"/>
      <x:c r="E13" s="21"/>
      <x:c r="F13" s="21"/>
      <x:c r="G13" s="21"/>
      <x:c r="H13" s="21"/>
      <x:c r="I13" s="21"/>
      <x:c r="J13" s="21"/>
    </x:row>
    <x:row r="14" spans="2:10" s="19" customFormat="1" ht="22.19999999999999928946" customHeight="1">
      <x:c r="B14" s="110" t="s">
        <x:v>16</x:v>
      </x:c>
      <x:c r="C14" s="111"/>
      <x:c r="D14" s="111"/>
      <x:c r="E14" s="111"/>
      <x:c r="F14" s="111"/>
      <x:c r="G14" s="21"/>
      <x:c r="H14" s="21"/>
      <x:c r="I14" s="21"/>
      <x:c r="J14" s="21"/>
    </x:row>
    <x:row r="15" spans="2:10" s="19" customFormat="1" ht="13.19999999999999928946" customHeight="1">
      <x:c r="B15" s="35"/>
      <x:c r="C15" s="21"/>
      <x:c r="D15" s="21"/>
      <x:c r="E15" s="21"/>
      <x:c r="F15" s="21"/>
      <x:c r="G15" s="21"/>
      <x:c r="H15" s="21"/>
      <x:c r="I15" s="21"/>
      <x:c r="J15" s="21"/>
    </x:row>
    <x:row r="16" spans="2:8" customFormat="1" ht="42" customHeight="1">
      <x:c r="B16" s="166" t="s">
        <x:v>129</x:v>
      </x:c>
      <x:c r="C16" s="167"/>
      <x:c r="D16" s="168"/>
      <x:c r="E16" s="19"/>
      <x:c r="F16" s="37" t="s">
        <x:v>145</x:v>
      </x:c>
      <x:c r="G16" s="19"/>
      <x:c r="H16" s="39" t="s">
        <x:v>138</x:v>
      </x:c>
    </x:row>
    <x:row r="17" spans="2:8" customFormat="1" ht="20.39999999999999857891" customHeight="1">
      <x:c r="B17" s="22" t="s">
        <x:v>118</x:v>
      </x:c>
      <x:c r="C17" s="19"/>
      <x:c r="D17" s="22" t="s">
        <x:v>131</x:v>
      </x:c>
      <x:c r="E17" s="24"/>
      <x:c r="F17" s="19"/>
      <x:c r="G17" s="24"/>
      <x:c r="H17" s="19"/>
    </x:row>
    <x:row r="18" spans="2:8" s="20" customFormat="1" ht="27" customHeight="1">
      <x:c r="B18" s="128">
        <x:v>15</x:v>
      </x:c>
      <x:c r="C18" s="22" t="s">
        <x:v>99</x:v>
      </x:c>
      <x:c r="D18" s="128">
        <x:v>3</x:v>
      </x:c>
      <x:c r="E18" s="169" t="s">
        <x:v>86</x:v>
      </x:c>
      <x:c r="F18" s="203">
        <x:f>(B18+D18)*(F9*6/40)*('2025학년도 근로일'!D4/'2025학년도 근로일'!D16)+(B18+D18)*(F10*6/40)*('2025학년도 근로일'!D14/'2025학년도 근로일'!D16)</x:f>
        <x:v>16.485436893203882</x:v>
      </x:c>
      <x:c r="G18" s="169" t="s">
        <x:v>86</x:v>
      </x:c>
      <x:c r="H18" s="206">
        <x:f>F18*8</x:f>
        <x:v>131.88349514563106</x:v>
      </x:c>
    </x:row>
    <x:row r="19" spans="2:8" s="20" customFormat="1" ht="7.20000000000000017764" customHeight="1">
      <x:c r="B19" s="22"/>
      <x:c r="C19" s="21"/>
      <x:c r="D19" s="22"/>
      <x:c r="E19" s="169"/>
      <x:c r="F19" s="204"/>
      <x:c r="G19" s="169"/>
      <x:c r="H19" s="207"/>
    </x:row>
    <x:row r="20" spans="2:8" s="20" customFormat="1" ht="27" customHeight="1">
      <x:c r="B20" s="209">
        <x:f>B18+D18</x:f>
        <x:v>18</x:v>
      </x:c>
      <x:c r="C20" s="210"/>
      <x:c r="D20" s="211"/>
      <x:c r="E20" s="169"/>
      <x:c r="F20" s="205"/>
      <x:c r="G20" s="169"/>
      <x:c r="H20" s="208"/>
    </x:row>
    <x:row r="21" spans="2:10" s="29" customFormat="1" ht="27" customHeight="1">
      <x:c r="B21" s="38" t="s">
        <x:v>61</x:v>
      </x:c>
      <x:c r="C21" s="22"/>
      <x:c r="D21" s="30"/>
      <x:c r="E21" s="31"/>
      <x:c r="F21" s="30"/>
      <x:c r="G21" s="22"/>
      <x:c r="H21" s="32"/>
      <x:c r="I21" s="22"/>
      <x:c r="J21" s="27"/>
    </x:row>
    <x:row r="22" spans="2:10" s="29" customFormat="1" ht="27" customHeight="1">
      <x:c r="B22" s="38"/>
      <x:c r="C22" s="22"/>
      <x:c r="D22" s="30"/>
      <x:c r="E22" s="31"/>
      <x:c r="F22" s="30"/>
      <x:c r="G22" s="22"/>
      <x:c r="H22" s="32"/>
      <x:c r="I22" s="22"/>
      <x:c r="J22" s="27"/>
    </x:row>
    <x:row r="23" spans="2:10" s="21" customFormat="1" ht="48" customHeight="1">
      <x:c r="B23" s="41" t="s">
        <x:v>43</x:v>
      </x:c>
      <x:c r="C23" s="22"/>
      <x:c r="D23" s="30"/>
      <x:c r="E23" s="30"/>
      <x:c r="F23" s="30"/>
      <x:c r="G23" s="22"/>
      <x:c r="H23" s="32"/>
      <x:c r="I23" s="22"/>
      <x:c r="J23" s="47"/>
    </x:row>
    <x:row r="24" spans="2:10" s="29" customFormat="1" ht="27" customHeight="1">
      <x:c r="B24" s="41" t="s">
        <x:v>102</x:v>
      </x:c>
      <x:c r="C24" s="22"/>
      <x:c r="D24" s="30"/>
      <x:c r="E24" s="31"/>
      <x:c r="F24" s="30"/>
      <x:c r="G24" s="22"/>
      <x:c r="H24" s="41" t="s">
        <x:v>160</x:v>
      </x:c>
      <x:c r="I24" s="22"/>
      <x:c r="J24" s="27"/>
    </x:row>
    <x:row r="25" spans="2:10" s="19" customFormat="1" ht="22.19999999999999928946" customHeight="1">
      <x:c r="B25" s="65" t="s">
        <x:v>30</x:v>
      </x:c>
      <x:c r="C25" s="36"/>
      <x:c r="D25" s="36"/>
      <x:c r="E25" s="36"/>
      <x:c r="F25" s="36"/>
      <x:c r="G25" s="21"/>
      <x:c r="H25" s="66" t="s">
        <x:v>24</x:v>
      </x:c>
      <x:c r="I25" s="42"/>
      <x:c r="J25" s="42"/>
    </x:row>
    <x:row r="26" spans="2:10" s="19" customFormat="1" ht="12" customHeight="1">
      <x:c r="B26" s="35"/>
      <x:c r="C26" s="21"/>
      <x:c r="D26" s="21"/>
      <x:c r="E26" s="21"/>
      <x:c r="F26" s="21"/>
      <x:c r="G26" s="21"/>
      <x:c r="H26" s="21"/>
      <x:c r="I26" s="21"/>
      <x:c r="J26" s="21"/>
    </x:row>
    <x:row r="27" spans="3:10" s="19" customFormat="1" ht="30" customHeight="1">
      <x:c r="C27" s="35"/>
      <x:c r="D27" s="179" t="s">
        <x:v>144</x:v>
      </x:c>
      <x:c r="E27" s="179"/>
      <x:c r="F27" s="179"/>
      <x:c r="G27" s="21"/>
      <x:c r="H27" s="179" t="s">
        <x:v>163</x:v>
      </x:c>
      <x:c r="I27" s="179"/>
      <x:c r="J27" s="179"/>
    </x:row>
    <x:row r="28" spans="2:10" s="19" customFormat="1" ht="4.20000000000000017764" customHeight="1">
      <x:c r="B28" s="35"/>
      <x:c r="C28" s="21"/>
      <x:c r="D28" s="21"/>
      <x:c r="E28" s="21"/>
      <x:c r="F28" s="21"/>
      <x:c r="G28" s="21"/>
      <x:c r="H28" s="21"/>
      <x:c r="I28" s="21"/>
      <x:c r="J28" s="21"/>
    </x:row>
    <x:row r="29" spans="2:10" s="20" customFormat="1" ht="32" customHeight="1">
      <x:c r="B29" s="21"/>
      <x:c r="C29" s="21"/>
      <x:c r="D29" s="86" t="s">
        <x:v>110</x:v>
      </x:c>
      <x:c r="E29" s="51" t="s">
        <x:v>113</x:v>
      </x:c>
      <x:c r="F29" s="52" t="s">
        <x:v>52</x:v>
      </x:c>
      <x:c r="G29" s="21"/>
      <x:c r="H29" s="55" t="s">
        <x:v>119</x:v>
      </x:c>
      <x:c r="I29" s="56" t="s">
        <x:v>133</x:v>
      </x:c>
      <x:c r="J29" s="57" t="s">
        <x:v>125</x:v>
      </x:c>
    </x:row>
    <x:row r="30" spans="2:10" s="20" customFormat="1" ht="32" customHeight="1">
      <x:c r="B30" s="21"/>
      <x:c r="C30" s="21"/>
      <x:c r="D30" s="130">
        <x:v>6</x:v>
      </x:c>
      <x:c r="E30" s="122">
        <x:v>1</x:v>
      </x:c>
      <x:c r="F30" s="53">
        <x:f>D30*E30</x:f>
        <x:v>6</x:v>
      </x:c>
      <x:c r="G30" s="22"/>
      <x:c r="H30" s="118">
        <x:v>10</x:v>
      </x:c>
      <x:c r="I30" s="119">
        <x:v>6</x:v>
      </x:c>
      <x:c r="J30" s="120">
        <x:v>7</x:v>
      </x:c>
    </x:row>
    <x:row r="31" spans="2:13" s="20" customFormat="1" ht="32" customHeight="1">
      <x:c r="B31" s="21"/>
      <x:c r="C31" s="21"/>
      <x:c r="D31" s="131">
        <x:v>10</x:v>
      </x:c>
      <x:c r="E31" s="123">
        <x:v>3</x:v>
      </x:c>
      <x:c r="F31" s="54">
        <x:f>D31*E31</x:f>
        <x:v>30</x:v>
      </x:c>
      <x:c r="G31" s="22"/>
      <x:c r="H31" s="186" t="s">
        <x:v>149</x:v>
      </x:c>
      <x:c r="I31" s="187"/>
      <x:c r="J31" s="58">
        <x:f>H30+I30+J30</x:f>
        <x:v>23</x:v>
      </x:c>
      <x:c r="M31" s="21"/>
    </x:row>
    <x:row r="32" spans="2:13" s="20" customFormat="1" ht="32" customHeight="1">
      <x:c r="B32" s="21"/>
      <x:c r="C32" s="21"/>
      <x:c r="D32" s="212" t="s">
        <x:v>156</x:v>
      </x:c>
      <x:c r="E32" s="191"/>
      <x:c r="F32" s="129">
        <x:f>SUM(F30:F31)</x:f>
        <x:v>36</x:v>
      </x:c>
      <x:c r="G32" s="22"/>
      <x:c r="H32" s="188" t="s">
        <x:v>147</x:v>
      </x:c>
      <x:c r="I32" s="189"/>
      <x:c r="J32" s="59">
        <x:f>ROUNDDOWN(J31/F10,-0.1)</x:f>
        <x:v>3</x:v>
      </x:c>
      <x:c r="M32" s="21"/>
    </x:row>
    <x:row r="33" spans="2:8" customFormat="1" ht="32" customHeight="1">
      <x:c r="B33" s="19"/>
      <x:c r="C33" s="19"/>
      <x:c r="D33" s="19"/>
      <x:c r="E33" s="19"/>
      <x:c r="F33" s="19"/>
      <x:c r="G33" s="22"/>
      <x:c r="H33" t="s">
        <x:v>35</x:v>
      </x:c>
    </x:row>
    <x:row r="34" spans="2:10" customFormat="1" ht="40" customHeight="1">
      <x:c r="B34" s="19"/>
      <x:c r="C34" s="19"/>
      <x:c r="D34" s="19"/>
      <x:c r="E34" s="19"/>
      <x:c r="F34" s="19"/>
      <x:c r="G34" s="19"/>
      <x:c r="H34" s="193" t="s">
        <x:v>134</x:v>
      </x:c>
      <x:c r="I34" s="194"/>
      <x:c r="J34" s="117">
        <x:f>F10*J32</x:f>
        <x:v>20</x:v>
      </x:c>
    </x:row>
    <x:row r="35" spans="2:10" s="21" customFormat="1" ht="48" customHeight="1">
      <x:c r="B35" s="106" t="s">
        <x:v>34</x:v>
      </x:c>
      <x:c r="C35" s="60"/>
      <x:c r="D35" s="61"/>
      <x:c r="E35" s="30"/>
      <x:c r="F35" s="30"/>
      <x:c r="G35" s="22"/>
      <x:c r="H35" s="107" t="s">
        <x:v>101</x:v>
      </x:c>
      <x:c r="I35" s="19"/>
      <x:c r="J35" s="19"/>
    </x:row>
    <x:row r="36" spans="2:10" s="21" customFormat="1" ht="48" customHeight="1">
      <x:c r="B36" s="195" t="s">
        <x:v>55</x:v>
      </x:c>
      <x:c r="C36" s="196"/>
      <x:c r="D36" s="100">
        <x:f>H18</x:f>
        <x:v>131.88349514563106</x:v>
      </x:c>
      <x:c r="E36" s="63"/>
      <x:c r="G36" s="22"/>
      <x:c r="H36" s="32"/>
      <x:c r="I36" s="22"/>
      <x:c r="J36" s="47"/>
    </x:row>
    <x:row r="37" spans="2:8" s="19" customFormat="1" ht="40" customHeight="1">
      <x:c r="B37" s="197" t="s">
        <x:v>50</x:v>
      </x:c>
      <x:c r="C37" s="198"/>
      <x:c r="D37" s="101">
        <x:f>F32</x:f>
        <x:v>36</x:v>
      </x:c>
      <x:c r="E37" s="63"/>
      <x:c r="H37" s="24"/>
    </x:row>
    <x:row r="38" spans="2:8" s="19" customFormat="1" ht="40" customHeight="1">
      <x:c r="B38" s="197" t="s">
        <x:v>146</x:v>
      </x:c>
      <x:c r="C38" s="198"/>
      <x:c r="D38" s="102">
        <x:f>J34</x:f>
        <x:v>20</x:v>
      </x:c>
      <x:c r="E38" s="64"/>
      <x:c r="F38" s="108" t="s">
        <x:v>165</x:v>
      </x:c>
      <x:c r="G38" s="24"/>
      <x:c r="H38" s="24"/>
    </x:row>
    <x:row r="39" spans="2:8" s="19" customFormat="1" ht="40" customHeight="1">
      <x:c r="B39" s="199" t="s">
        <x:v>143</x:v>
      </x:c>
      <x:c r="C39" s="200"/>
      <x:c r="D39" s="62">
        <x:f>D36-D37-D38</x:f>
        <x:v>75.883495145631059</x:v>
      </x:c>
      <x:c r="E39" s="60" t="s">
        <x:v>70</x:v>
      </x:c>
      <x:c r="F39" s="99">
        <x:f>((F42*40/48)+F43+(F44*(40/40)/12)+(F45/12))/I10</x:f>
        <x:v>11882.183908045978</x:v>
      </x:c>
      <x:c r="G39" s="22" t="s">
        <x:v>72</x:v>
      </x:c>
      <x:c r="H39" s="46">
        <x:f>ROUNDDOWN(D39*F39,-1)</x:f>
        <x:v>901660</x:v>
      </x:c>
    </x:row>
    <x:row r="40" spans="5:6" ht="40" customHeight="1">
      <x:c r="E40" s="19"/>
      <x:c r="F40" s="48" t="s">
        <x:v>33</x:v>
      </x:c>
    </x:row>
    <x:row r="41" spans="2:10" ht="32" customHeight="1">
      <x:c r="B41" s="19"/>
      <x:c r="C41" s="19"/>
      <x:c r="D41" s="19"/>
      <x:c r="E41" s="98" t="s">
        <x:v>116</x:v>
      </x:c>
      <x:c r="F41" s="115" t="s">
        <x:v>137</x:v>
      </x:c>
      <x:c r="G41" s="116" t="s">
        <x:v>28</x:v>
      </x:c>
      <x:c r="I41" s="19"/>
      <x:c r="J41" s="19"/>
    </x:row>
    <x:row r="42" spans="2:7" ht="32" customHeight="1">
      <x:c r="B42" s="19"/>
      <x:c r="C42" s="19"/>
      <x:c r="D42" s="19"/>
      <x:c r="E42" s="97" t="s">
        <x:v>68</x:v>
      </x:c>
      <x:c r="F42" s="125">
        <x:v>2066000</x:v>
      </x:c>
      <x:c r="G42" s="114" t="s">
        <x:v>53</x:v>
      </x:c>
    </x:row>
    <x:row r="43" spans="2:7" ht="32" customHeight="1">
      <x:c r="B43" s="19"/>
      <x:c r="C43" s="19"/>
      <x:c r="D43" s="19"/>
      <x:c r="E43" s="97" t="s">
        <x:v>114</x:v>
      </x:c>
      <x:c r="F43" s="126">
        <x:v>150000</x:v>
      </x:c>
      <x:c r="G43" s="114" t="s">
        <x:v>53</x:v>
      </x:c>
    </x:row>
    <x:row r="44" spans="2:7" ht="32" customHeight="1">
      <x:c r="B44" s="19"/>
      <x:c r="C44" s="19"/>
      <x:c r="D44" s="19"/>
      <x:c r="E44" s="97" t="s">
        <x:v>115</x:v>
      </x:c>
      <x:c r="F44" s="126">
        <x:v>1850000</x:v>
      </x:c>
      <x:c r="G44" s="114" t="s">
        <x:v>53</x:v>
      </x:c>
    </x:row>
    <x:row r="45" spans="2:7" ht="32" customHeight="1">
      <x:c r="B45" s="19"/>
      <x:c r="C45" s="19"/>
      <x:c r="D45" s="19"/>
      <x:c r="E45" s="96" t="s">
        <x:v>109</x:v>
      </x:c>
      <x:c r="F45" s="127">
        <x:v>500000</x:v>
      </x:c>
      <x:c r="G45" s="114" t="s">
        <x:v>53</x:v>
      </x:c>
    </x:row>
    <x:row r="46" spans="6:7">
      <x:c r="F46" s="21"/>
      <x:c r="G46" s="19"/>
    </x:row>
  </x:sheetData>
  <x:mergeCells count="23">
    <x:mergeCell ref="B1:L1"/>
    <x:mergeCell ref="B4:C4"/>
    <x:mergeCell ref="B5:C5"/>
    <x:mergeCell ref="C8:E8"/>
    <x:mergeCell ref="C9:E9"/>
    <x:mergeCell ref="C10:E10"/>
    <x:mergeCell ref="B11:F11"/>
    <x:mergeCell ref="B16:D16"/>
    <x:mergeCell ref="E18:E20"/>
    <x:mergeCell ref="F18:F20"/>
    <x:mergeCell ref="G18:G20"/>
    <x:mergeCell ref="H18:H20"/>
    <x:mergeCell ref="B20:D20"/>
    <x:mergeCell ref="D27:F27"/>
    <x:mergeCell ref="H27:J27"/>
    <x:mergeCell ref="H31:I31"/>
    <x:mergeCell ref="D32:E32"/>
    <x:mergeCell ref="H32:I32"/>
    <x:mergeCell ref="H34:I34"/>
    <x:mergeCell ref="B36:C36"/>
    <x:mergeCell ref="B37:C37"/>
    <x:mergeCell ref="B38:C38"/>
    <x:mergeCell ref="B39:C39"/>
  </x:mergeCells>
  <x:printOptions horizontalCentered="1" verticalCentered="0" headings="0" gridLines="0" gridLinesSet="1"/>
  <x:pageMargins left="0.23430556058883666992" right="0.20000000298023223877" top="0.45958334207534790039" bottom="0.39791667461395263672" header="0.51138889789581298828" footer="0.51138889789581298828"/>
  <x:pageSetup paperSize="9" scale="54" firstPageNumber="1" fitToWidth="1" fitToHeight="1" orientation="portrait" usePrinterDefaults="1" blackAndWhite="0" draft="0" useFirstPageNumber="0" horizontalDpi="0" verticalDpi="0" copies="0"/>
  <x: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pageSetUpPr autoPageBreaks="1" fitToPage="1"/>
  </x:sheetPr>
  <x:dimension ref="B1:M46"/>
  <x:sheetViews>
    <x:sheetView showGridLines="0" topLeftCell="A19" zoomScale="70" zoomScaleNormal="70" zoomScaleSheetLayoutView="70" workbookViewId="0">
      <x:selection activeCell="I11" activeCellId="0" sqref="I11:I11"/>
    </x:sheetView>
  </x:sheetViews>
  <x:sheetFormatPr defaultColWidth="8.796875" defaultRowHeight="16.39999999999999857891"/>
  <x:cols>
    <x:col min="1" max="1" width="4.1015625" customWidth="1"/>
    <x:col min="2" max="2" width="14.89453125" customWidth="1"/>
    <x:col min="3" max="3" width="5.3984375" style="20" customWidth="1"/>
    <x:col min="4" max="4" width="15.69921875" style="20" customWidth="1"/>
    <x:col min="5" max="5" width="10.30078125" style="20" customWidth="1"/>
    <x:col min="6" max="6" width="28.3984375" style="20" customWidth="1"/>
    <x:col min="7" max="7" width="9.69921875" style="20" customWidth="1"/>
    <x:col min="8" max="8" width="17.6015625" style="20" customWidth="1"/>
    <x:col min="9" max="9" width="16.30078125" style="20" customWidth="1"/>
    <x:col min="10" max="10" width="17.30078125" style="20" customWidth="1"/>
  </x:cols>
  <x:sheetData>
    <x:row r="1" spans="2:12" ht="51.60000000000000142109" customHeight="1">
      <x:c r="B1" s="156" t="s">
        <x:v>18</x:v>
      </x:c>
      <x:c r="C1" s="156"/>
      <x:c r="D1" s="156"/>
      <x:c r="E1" s="156"/>
      <x:c r="F1" s="156"/>
      <x:c r="G1" s="156"/>
      <x:c r="H1" s="156"/>
      <x:c r="I1" s="156"/>
      <x:c r="J1" s="156"/>
      <x:c r="K1" s="156"/>
      <x:c r="L1" s="156"/>
    </x:row>
    <x:row r="2" spans="2:12" s="19" customFormat="1" ht="40.79999999999999715783" customHeight="1">
      <x:c r="B2" s="142" t="s">
        <x:v>13</x:v>
      </x:c>
      <x:c r="C2" s="90"/>
      <x:c r="D2" s="90"/>
      <x:c r="E2" s="90"/>
      <x:c r="F2" s="90"/>
      <x:c r="G2" s="90"/>
      <x:c r="H2" s="90"/>
      <x:c r="I2" s="90"/>
      <x:c r="J2" s="90"/>
      <x:c r="K2" s="90"/>
      <x:c r="L2" s="90"/>
    </x:row>
    <x:row r="3" spans="2:10" s="19" customFormat="1" ht="22.19999999999999928946" customHeight="1">
      <x:c r="B3" s="109" t="s">
        <x:v>167</x:v>
      </x:c>
      <x:c r="C3" s="95"/>
      <x:c r="D3" s="95"/>
      <x:c r="E3" s="95"/>
      <x:c r="F3" s="95"/>
      <x:c r="G3" s="21"/>
      <x:c r="H3" s="21"/>
      <x:c r="I3" s="21"/>
      <x:c r="J3" s="21"/>
    </x:row>
    <x:row r="4" spans="2:12" s="19" customFormat="1" ht="30" customHeight="1">
      <x:c r="B4" s="201" t="s">
        <x:v>96</x:v>
      </x:c>
      <x:c r="C4" s="202"/>
      <x:c r="D4" s="91" t="s">
        <x:v>63</x:v>
      </x:c>
      <x:c r="E4" s="91" t="s">
        <x:v>84</x:v>
      </x:c>
      <x:c r="F4" s="91" t="s">
        <x:v>92</x:v>
      </x:c>
      <x:c r="G4" s="91" t="s">
        <x:v>97</x:v>
      </x:c>
      <x:c r="H4" s="91" t="s">
        <x:v>93</x:v>
      </x:c>
      <x:c r="I4" s="91" t="s">
        <x:v>98</x:v>
      </x:c>
      <x:c r="J4" s="92" t="s">
        <x:v>91</x:v>
      </x:c>
      <x:c r="K4" s="90"/>
      <x:c r="L4" s="90"/>
    </x:row>
    <x:row r="5" spans="2:12" s="19" customFormat="1" ht="30" customHeight="1">
      <x:c r="B5" s="159" t="s">
        <x:v>128</x:v>
      </x:c>
      <x:c r="C5" s="160"/>
      <x:c r="D5" s="137">
        <x:v>6</x:v>
      </x:c>
      <x:c r="E5" s="137">
        <x:v>6</x:v>
      </x:c>
      <x:c r="F5" s="137">
        <x:v>6</x:v>
      </x:c>
      <x:c r="G5" s="137">
        <x:v>6</x:v>
      </x:c>
      <x:c r="H5" s="137">
        <x:v>6</x:v>
      </x:c>
      <x:c r="I5" s="137">
        <x:v>10</x:v>
      </x:c>
      <x:c r="J5" s="138">
        <x:v>0</x:v>
      </x:c>
      <x:c r="K5" s="90"/>
      <x:c r="L5" s="90"/>
    </x:row>
    <x:row r="7" spans="2:10" customFormat="1" ht="48" customHeight="1">
      <x:c r="B7" s="40" t="s">
        <x:v>1</x:v>
      </x:c>
      <x:c r="C7" s="20"/>
      <x:c r="D7" s="20"/>
      <x:c r="E7" s="20"/>
      <x:c r="F7" s="20"/>
      <x:c r="G7" s="20"/>
      <x:c r="H7" s="20"/>
      <x:c r="I7" s="20"/>
      <x:c r="J7" s="20"/>
    </x:row>
    <x:row r="8" spans="2:8" ht="32" customHeight="1">
      <x:c r="B8" s="44" t="s">
        <x:v>82</x:v>
      </x:c>
      <x:c r="C8" s="161" t="s">
        <x:v>107</x:v>
      </x:c>
      <x:c r="D8" s="161"/>
      <x:c r="E8" s="161"/>
      <x:c r="F8" s="45" t="s">
        <x:v>155</x:v>
      </x:c>
      <x:c r="G8" s="21"/>
      <x:c r="H8" s="21"/>
    </x:row>
    <x:row r="9" spans="2:10" s="19" customFormat="1" ht="32" customHeight="1">
      <x:c r="B9" s="25" t="s">
        <x:v>130</x:v>
      </x:c>
      <x:c r="C9" s="162" t="s">
        <x:v>161</x:v>
      </x:c>
      <x:c r="D9" s="163"/>
      <x:c r="E9" s="164"/>
      <x:c r="F9" s="33">
        <x:f>(6+6+6+6+6+6)/6</x:f>
        <x:v>6</x:v>
      </x:c>
      <x:c r="G9" s="21"/>
      <x:c r="H9" s="21"/>
      <x:c r="I9" s="22"/>
      <x:c r="J9" s="22"/>
    </x:row>
    <x:row r="10" spans="2:11" customFormat="1" ht="32" customHeight="1">
      <x:c r="B10" s="25" t="s">
        <x:v>106</x:v>
      </x:c>
      <x:c r="C10" s="162" t="s">
        <x:v>164</x:v>
      </x:c>
      <x:c r="D10" s="163"/>
      <x:c r="E10" s="164"/>
      <x:c r="F10" s="26">
        <x:f>(D5+E5+F5+G5+H5+I5+J5)/6</x:f>
        <x:v>6.666666666666667</x:v>
      </x:c>
      <x:c r="G10" s="21"/>
      <x:c r="H10" s="50" t="s">
        <x:v>139</x:v>
      </x:c>
      <x:c r="I10" s="49">
        <x:v>174</x:v>
      </x:c>
      <x:c r="J10" s="19"/>
      <x:c r="K10" s="19"/>
    </x:row>
    <x:row r="11" spans="2:10" customFormat="1" ht="28.19999999999999928946" customHeight="1">
      <x:c r="B11" s="165" t="s">
        <x:v>105</x:v>
      </x:c>
      <x:c r="C11" s="165"/>
      <x:c r="D11" s="165"/>
      <x:c r="E11" s="165"/>
      <x:c r="F11" s="165"/>
      <x:c r="G11" s="22"/>
      <x:c r="H11" s="93" t="s">
        <x:v>27</x:v>
      </x:c>
      <x:c r="I11" s="22"/>
      <x:c r="J11" s="22"/>
    </x:row>
    <x:row r="12" spans="2:10" customFormat="1" ht="18.60000000000000142109" customHeight="1">
      <x:c r="B12" s="34"/>
      <x:c r="C12" s="34"/>
      <x:c r="D12" s="34"/>
      <x:c r="E12" s="34"/>
      <x:c r="F12" s="34"/>
      <x:c r="G12" s="22"/>
      <x:c r="H12" s="28"/>
      <x:c r="I12" s="23"/>
      <x:c r="J12" s="22"/>
    </x:row>
    <x:row r="13" spans="2:10" s="19" customFormat="1" ht="48" customHeight="1">
      <x:c r="B13" s="40" t="s">
        <x:v>29</x:v>
      </x:c>
      <x:c r="C13" s="21"/>
      <x:c r="D13" s="21"/>
      <x:c r="E13" s="21"/>
      <x:c r="F13" s="21"/>
      <x:c r="G13" s="21"/>
      <x:c r="H13" s="21"/>
      <x:c r="I13" s="21"/>
      <x:c r="J13" s="21"/>
    </x:row>
    <x:row r="14" spans="2:10" s="19" customFormat="1" ht="22.19999999999999928946" customHeight="1">
      <x:c r="B14" s="110" t="s">
        <x:v>16</x:v>
      </x:c>
      <x:c r="C14" s="43"/>
      <x:c r="D14" s="43"/>
      <x:c r="E14" s="43"/>
      <x:c r="F14" s="43"/>
      <x:c r="G14" s="43"/>
      <x:c r="H14" s="21"/>
      <x:c r="I14" s="21"/>
      <x:c r="J14" s="21"/>
    </x:row>
    <x:row r="15" spans="2:10" s="19" customFormat="1" ht="13.19999999999999928946" customHeight="1">
      <x:c r="B15" s="35"/>
      <x:c r="C15" s="21"/>
      <x:c r="D15" s="21"/>
      <x:c r="E15" s="21"/>
      <x:c r="F15" s="21"/>
      <x:c r="G15" s="21"/>
      <x:c r="H15" s="21"/>
      <x:c r="I15" s="21"/>
      <x:c r="J15" s="21"/>
    </x:row>
    <x:row r="16" spans="2:8" customFormat="1" ht="42" customHeight="1">
      <x:c r="B16" s="166" t="s">
        <x:v>129</x:v>
      </x:c>
      <x:c r="C16" s="167"/>
      <x:c r="D16" s="168"/>
      <x:c r="E16" s="19"/>
      <x:c r="F16" s="37" t="s">
        <x:v>145</x:v>
      </x:c>
      <x:c r="G16" s="19"/>
      <x:c r="H16" s="39" t="s">
        <x:v>138</x:v>
      </x:c>
    </x:row>
    <x:row r="17" spans="2:8" customFormat="1" ht="20.39999999999999857891" customHeight="1">
      <x:c r="B17" s="22" t="s">
        <x:v>118</x:v>
      </x:c>
      <x:c r="C17" s="19"/>
      <x:c r="D17" s="22" t="s">
        <x:v>131</x:v>
      </x:c>
      <x:c r="E17" s="24"/>
      <x:c r="F17" s="19"/>
      <x:c r="G17" s="24"/>
      <x:c r="H17" s="19"/>
    </x:row>
    <x:row r="18" spans="2:9" s="20" customFormat="1" ht="27" customHeight="1">
      <x:c r="B18" s="136">
        <x:v>15</x:v>
      </x:c>
      <x:c r="C18" s="22" t="s">
        <x:v>99</x:v>
      </x:c>
      <x:c r="D18" s="136">
        <x:v>3</x:v>
      </x:c>
      <x:c r="E18" s="169" t="s">
        <x:v>86</x:v>
      </x:c>
      <x:c r="F18" s="213">
        <x:f>(B18+D18)*(F9*6/40)*('2025학년도 근로일'!G4/'2025학년도 근로일'!G16)+(B18+D18)*(F10*6/40)*('2025학년도 근로일'!G14/'2025학년도 근로일'!G16)</x:f>
        <x:v>16.490322580645163</x:v>
      </x:c>
      <x:c r="G18" s="169" t="s">
        <x:v>86</x:v>
      </x:c>
      <x:c r="H18" s="216">
        <x:f>F18*8</x:f>
        <x:v>131.9225806451613</x:v>
      </x:c>
      <x:c r="I18" s="105"/>
    </x:row>
    <x:row r="19" spans="2:8" s="20" customFormat="1" ht="7.20000000000000017764" customHeight="1">
      <x:c r="B19" s="22"/>
      <x:c r="C19" s="21"/>
      <x:c r="D19" s="22"/>
      <x:c r="E19" s="169"/>
      <x:c r="F19" s="214"/>
      <x:c r="G19" s="169"/>
      <x:c r="H19" s="217"/>
    </x:row>
    <x:row r="20" spans="2:8" s="20" customFormat="1" ht="27" customHeight="1">
      <x:c r="B20" s="176">
        <x:f>B18+D18</x:f>
        <x:v>18</x:v>
      </x:c>
      <x:c r="C20" s="177"/>
      <x:c r="D20" s="178"/>
      <x:c r="E20" s="169"/>
      <x:c r="F20" s="215"/>
      <x:c r="G20" s="169"/>
      <x:c r="H20" s="218"/>
    </x:row>
    <x:row r="21" spans="2:10" s="29" customFormat="1" ht="39" customHeight="1">
      <x:c r="B21" s="38" t="s">
        <x:v>61</x:v>
      </x:c>
      <x:c r="C21" s="22"/>
      <x:c r="D21" s="30"/>
      <x:c r="E21" s="31"/>
      <x:c r="F21" s="30"/>
      <x:c r="G21" s="22"/>
      <x:c r="H21" s="32"/>
      <x:c r="I21" s="22"/>
      <x:c r="J21" s="27"/>
    </x:row>
    <x:row r="22" spans="2:10" s="29" customFormat="1" ht="27" customHeight="1">
      <x:c r="B22" s="38"/>
      <x:c r="C22" s="22"/>
      <x:c r="D22" s="30"/>
      <x:c r="E22" s="31"/>
      <x:c r="F22" s="30"/>
      <x:c r="G22" s="22"/>
      <x:c r="H22" s="32"/>
      <x:c r="I22" s="22"/>
      <x:c r="J22" s="27"/>
    </x:row>
    <x:row r="23" spans="2:10" s="21" customFormat="1" ht="48" customHeight="1">
      <x:c r="B23" s="41" t="s">
        <x:v>43</x:v>
      </x:c>
      <x:c r="C23" s="22"/>
      <x:c r="D23" s="30"/>
      <x:c r="E23" s="30"/>
      <x:c r="F23" s="30"/>
      <x:c r="G23" s="22"/>
      <x:c r="H23" s="32"/>
      <x:c r="I23" s="22"/>
      <x:c r="J23" s="47"/>
    </x:row>
    <x:row r="24" spans="2:10" s="29" customFormat="1" ht="27" customHeight="1">
      <x:c r="B24" s="41" t="s">
        <x:v>102</x:v>
      </x:c>
      <x:c r="C24" s="22"/>
      <x:c r="D24" s="30"/>
      <x:c r="E24" s="31"/>
      <x:c r="F24" s="30"/>
      <x:c r="G24" s="22"/>
      <x:c r="H24" s="41" t="s">
        <x:v>160</x:v>
      </x:c>
      <x:c r="I24" s="22"/>
      <x:c r="J24" s="27"/>
    </x:row>
    <x:row r="25" spans="2:10" s="19" customFormat="1" ht="22.19999999999999928946" customHeight="1">
      <x:c r="B25" s="65" t="s">
        <x:v>30</x:v>
      </x:c>
      <x:c r="C25" s="36"/>
      <x:c r="D25" s="36"/>
      <x:c r="E25" s="36"/>
      <x:c r="F25" s="36"/>
      <x:c r="G25" s="21"/>
      <x:c r="H25" s="66" t="s">
        <x:v>24</x:v>
      </x:c>
      <x:c r="I25" s="42"/>
      <x:c r="J25" s="42"/>
    </x:row>
    <x:row r="26" spans="2:10" s="19" customFormat="1" ht="12" customHeight="1">
      <x:c r="B26" s="35"/>
      <x:c r="C26" s="21"/>
      <x:c r="D26" s="21"/>
      <x:c r="E26" s="21"/>
      <x:c r="F26" s="21"/>
      <x:c r="G26" s="21"/>
      <x:c r="H26" s="21"/>
      <x:c r="I26" s="21"/>
      <x:c r="J26" s="21"/>
    </x:row>
    <x:row r="27" spans="3:10" s="19" customFormat="1" ht="30" customHeight="1">
      <x:c r="C27" s="35"/>
      <x:c r="D27" s="179" t="s">
        <x:v>144</x:v>
      </x:c>
      <x:c r="E27" s="179"/>
      <x:c r="F27" s="179"/>
      <x:c r="G27" s="21"/>
      <x:c r="H27" s="179" t="s">
        <x:v>163</x:v>
      </x:c>
      <x:c r="I27" s="179"/>
      <x:c r="J27" s="179"/>
    </x:row>
    <x:row r="28" spans="2:10" s="19" customFormat="1" ht="4.20000000000000017764" customHeight="1">
      <x:c r="B28" s="35"/>
      <x:c r="C28" s="21"/>
      <x:c r="D28" s="21"/>
      <x:c r="E28" s="21"/>
      <x:c r="F28" s="21"/>
      <x:c r="G28" s="21"/>
      <x:c r="H28" s="21"/>
      <x:c r="I28" s="21"/>
      <x:c r="J28" s="21"/>
    </x:row>
    <x:row r="29" spans="2:10" s="20" customFormat="1" ht="32" customHeight="1">
      <x:c r="B29" s="21"/>
      <x:c r="C29" s="21"/>
      <x:c r="D29" s="86" t="s">
        <x:v>110</x:v>
      </x:c>
      <x:c r="E29" s="51" t="s">
        <x:v>113</x:v>
      </x:c>
      <x:c r="F29" s="52" t="s">
        <x:v>52</x:v>
      </x:c>
      <x:c r="G29" s="21"/>
      <x:c r="H29" s="55" t="s">
        <x:v>119</x:v>
      </x:c>
      <x:c r="I29" s="56" t="s">
        <x:v>133</x:v>
      </x:c>
      <x:c r="J29" s="57" t="s">
        <x:v>125</x:v>
      </x:c>
    </x:row>
    <x:row r="30" spans="2:10" s="20" customFormat="1" ht="32" customHeight="1">
      <x:c r="B30" s="21"/>
      <x:c r="C30" s="21"/>
      <x:c r="D30" s="130">
        <x:v>6</x:v>
      </x:c>
      <x:c r="E30" s="122">
        <x:v>1</x:v>
      </x:c>
      <x:c r="F30" s="53">
        <x:f>D30*E30</x:f>
        <x:v>6</x:v>
      </x:c>
      <x:c r="G30" s="22"/>
      <x:c r="H30" s="118">
        <x:v>10</x:v>
      </x:c>
      <x:c r="I30" s="119">
        <x:v>6</x:v>
      </x:c>
      <x:c r="J30" s="120">
        <x:v>7</x:v>
      </x:c>
    </x:row>
    <x:row r="31" spans="2:13" s="20" customFormat="1" ht="32" customHeight="1">
      <x:c r="B31" s="21"/>
      <x:c r="C31" s="21"/>
      <x:c r="D31" s="131">
        <x:v>10</x:v>
      </x:c>
      <x:c r="E31" s="123">
        <x:v>3</x:v>
      </x:c>
      <x:c r="F31" s="54">
        <x:f>D31*E31</x:f>
        <x:v>30</x:v>
      </x:c>
      <x:c r="G31" s="22"/>
      <x:c r="H31" s="186" t="s">
        <x:v>149</x:v>
      </x:c>
      <x:c r="I31" s="187"/>
      <x:c r="J31" s="58">
        <x:f>H30+I30+J30</x:f>
        <x:v>23</x:v>
      </x:c>
      <x:c r="M31" s="21"/>
    </x:row>
    <x:row r="32" spans="2:13" s="20" customFormat="1" ht="32" customHeight="1">
      <x:c r="B32" s="21"/>
      <x:c r="C32" s="21"/>
      <x:c r="D32" s="212" t="s">
        <x:v>156</x:v>
      </x:c>
      <x:c r="E32" s="191"/>
      <x:c r="F32" s="139">
        <x:f>SUM(F30:F31)</x:f>
        <x:v>36</x:v>
      </x:c>
      <x:c r="G32" s="22"/>
      <x:c r="H32" s="188" t="s">
        <x:v>147</x:v>
      </x:c>
      <x:c r="I32" s="189"/>
      <x:c r="J32" s="59">
        <x:f>ROUNDDOWN(J31/F10,-0.1)</x:f>
        <x:v>3</x:v>
      </x:c>
      <x:c r="M32" s="21"/>
    </x:row>
    <x:row r="33" spans="2:8" customFormat="1" ht="32" customHeight="1">
      <x:c r="B33" s="19"/>
      <x:c r="C33" s="19"/>
      <x:c r="D33" s="19"/>
      <x:c r="E33" s="19"/>
      <x:c r="F33" s="19"/>
      <x:c r="G33" s="22"/>
      <x:c r="H33" t="s">
        <x:v>35</x:v>
      </x:c>
    </x:row>
    <x:row r="34" spans="2:10" customFormat="1" ht="40" customHeight="1">
      <x:c r="B34" s="19"/>
      <x:c r="C34" s="19"/>
      <x:c r="D34" s="19"/>
      <x:c r="E34" s="19"/>
      <x:c r="F34" s="19"/>
      <x:c r="G34" s="19"/>
      <x:c r="H34" s="193" t="s">
        <x:v>134</x:v>
      </x:c>
      <x:c r="I34" s="194"/>
      <x:c r="J34" s="140">
        <x:f>F10*J32</x:f>
        <x:v>20</x:v>
      </x:c>
    </x:row>
    <x:row r="35" spans="2:10" s="21" customFormat="1" ht="48" customHeight="1">
      <x:c r="B35" s="106" t="s">
        <x:v>34</x:v>
      </x:c>
      <x:c r="C35" s="60"/>
      <x:c r="D35" s="61"/>
      <x:c r="E35" s="30"/>
      <x:c r="F35" s="30"/>
      <x:c r="G35" s="22"/>
      <x:c r="H35" s="107" t="s">
        <x:v>101</x:v>
      </x:c>
      <x:c r="I35" s="19"/>
      <x:c r="J35" s="19"/>
    </x:row>
    <x:row r="36" spans="2:10" s="21" customFormat="1" ht="48" customHeight="1">
      <x:c r="B36" s="195" t="s">
        <x:v>55</x:v>
      </x:c>
      <x:c r="C36" s="196"/>
      <x:c r="D36" s="100">
        <x:f>H18</x:f>
        <x:v>131.9225806451613</x:v>
      </x:c>
      <x:c r="E36" s="63"/>
      <x:c r="G36" s="22"/>
      <x:c r="H36" s="32"/>
      <x:c r="I36" s="22"/>
      <x:c r="J36" s="47"/>
    </x:row>
    <x:row r="37" spans="2:8" s="19" customFormat="1" ht="40" customHeight="1">
      <x:c r="B37" s="197" t="s">
        <x:v>50</x:v>
      </x:c>
      <x:c r="C37" s="198"/>
      <x:c r="D37" s="101">
        <x:f>F32</x:f>
        <x:v>36</x:v>
      </x:c>
      <x:c r="E37" s="63"/>
      <x:c r="H37" s="24"/>
    </x:row>
    <x:row r="38" spans="2:8" s="19" customFormat="1" ht="40" customHeight="1">
      <x:c r="B38" s="197" t="s">
        <x:v>146</x:v>
      </x:c>
      <x:c r="C38" s="198"/>
      <x:c r="D38" s="102">
        <x:f>J34</x:f>
        <x:v>20</x:v>
      </x:c>
      <x:c r="E38" s="64"/>
      <x:c r="F38" s="108" t="s">
        <x:v>165</x:v>
      </x:c>
      <x:c r="G38" s="24"/>
      <x:c r="H38" s="24"/>
    </x:row>
    <x:row r="39" spans="2:8" s="19" customFormat="1" ht="40" customHeight="1">
      <x:c r="B39" s="199" t="s">
        <x:v>143</x:v>
      </x:c>
      <x:c r="C39" s="200"/>
      <x:c r="D39" s="62">
        <x:f>D36-D37-D38</x:f>
        <x:v>75.922580645161304</x:v>
      </x:c>
      <x:c r="E39" s="60" t="s">
        <x:v>70</x:v>
      </x:c>
      <x:c r="F39" s="99">
        <x:f>((F42*40/48)+F43+(F44*(40/40)/12)+(F45/12))/I10</x:f>
        <x:v>11882.183908045978</x:v>
      </x:c>
      <x:c r="G39" s="22" t="s">
        <x:v>72</x:v>
      </x:c>
      <x:c r="H39" s="143">
        <x:f>ROUNDDOWN(D39*F39,-1)</x:f>
        <x:v>902120</x:v>
      </x:c>
    </x:row>
    <x:row r="40" spans="5:6" ht="40" customHeight="1">
      <x:c r="E40" s="19"/>
      <x:c r="F40" s="48" t="s">
        <x:v>33</x:v>
      </x:c>
    </x:row>
    <x:row r="41" spans="5:8" s="19" customFormat="1" ht="32" customHeight="1">
      <x:c r="E41" s="98" t="s">
        <x:v>116</x:v>
      </x:c>
      <x:c r="F41" s="115" t="s">
        <x:v>137</x:v>
      </x:c>
      <x:c r="G41" s="116" t="s">
        <x:v>28</x:v>
      </x:c>
      <x:c r="H41" s="21"/>
    </x:row>
    <x:row r="42" spans="5:10" s="19" customFormat="1" ht="32" customHeight="1">
      <x:c r="E42" s="97" t="s">
        <x:v>68</x:v>
      </x:c>
      <x:c r="F42" s="125">
        <x:v>2066000</x:v>
      </x:c>
      <x:c r="G42" s="114" t="s">
        <x:v>53</x:v>
      </x:c>
      <x:c r="H42" s="21"/>
      <x:c r="I42" s="21"/>
      <x:c r="J42" s="21"/>
    </x:row>
    <x:row r="43" spans="5:10" s="19" customFormat="1" ht="32" customHeight="1">
      <x:c r="E43" s="97" t="s">
        <x:v>114</x:v>
      </x:c>
      <x:c r="F43" s="126">
        <x:v>150000</x:v>
      </x:c>
      <x:c r="G43" s="114" t="s">
        <x:v>53</x:v>
      </x:c>
      <x:c r="H43" s="21"/>
      <x:c r="I43" s="21"/>
      <x:c r="J43" s="21"/>
    </x:row>
    <x:row r="44" spans="5:10" s="19" customFormat="1" ht="32" customHeight="1">
      <x:c r="E44" s="97" t="s">
        <x:v>115</x:v>
      </x:c>
      <x:c r="F44" s="126">
        <x:v>1850000</x:v>
      </x:c>
      <x:c r="G44" s="114" t="s">
        <x:v>53</x:v>
      </x:c>
      <x:c r="H44" s="21"/>
      <x:c r="I44" s="21"/>
      <x:c r="J44" s="21"/>
    </x:row>
    <x:row r="45" spans="5:10" s="19" customFormat="1" ht="32" customHeight="1">
      <x:c r="E45" s="96" t="s">
        <x:v>109</x:v>
      </x:c>
      <x:c r="F45" s="127">
        <x:v>500000</x:v>
      </x:c>
      <x:c r="G45" s="114" t="s">
        <x:v>53</x:v>
      </x:c>
      <x:c r="H45" s="21"/>
      <x:c r="I45" s="21"/>
      <x:c r="J45" s="21"/>
    </x:row>
    <x:row r="46" spans="7:7">
      <x:c r="G46" s="19"/>
    </x:row>
  </x:sheetData>
  <x:mergeCells count="23">
    <x:mergeCell ref="B1:L1"/>
    <x:mergeCell ref="B4:C4"/>
    <x:mergeCell ref="B5:C5"/>
    <x:mergeCell ref="C8:E8"/>
    <x:mergeCell ref="C9:E9"/>
    <x:mergeCell ref="C10:E10"/>
    <x:mergeCell ref="B11:F11"/>
    <x:mergeCell ref="B16:D16"/>
    <x:mergeCell ref="E18:E20"/>
    <x:mergeCell ref="F18:F20"/>
    <x:mergeCell ref="G18:G20"/>
    <x:mergeCell ref="H18:H20"/>
    <x:mergeCell ref="B20:D20"/>
    <x:mergeCell ref="D27:F27"/>
    <x:mergeCell ref="H27:J27"/>
    <x:mergeCell ref="H31:I31"/>
    <x:mergeCell ref="D32:E32"/>
    <x:mergeCell ref="H32:I32"/>
    <x:mergeCell ref="H34:I34"/>
    <x:mergeCell ref="B36:C36"/>
    <x:mergeCell ref="B37:C37"/>
    <x:mergeCell ref="B38:C38"/>
    <x:mergeCell ref="B39:C39"/>
  </x:mergeCells>
  <x:printOptions horizontalCentered="1" verticalCentered="0" headings="0" gridLines="0" gridLinesSet="1"/>
  <x:pageMargins left="0.23430556058883666992" right="0.20000000298023223877" top="0.47513890266418457031" bottom="0.42875000834465026855" header="0.51138889789581298828" footer="0.51138889789581298828"/>
  <x:pageSetup paperSize="9" scale="54" firstPageNumber="1" fitToWidth="1" fitToHeight="1" orientation="portrait" usePrinterDefaults="1" blackAndWhite="0" draft="0" useFirstPageNumber="0" horizontalDpi="0" verticalDpi="0" copies="0"/>
  <x:drawing r:id="rId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I16"/>
  <x:sheetViews>
    <x:sheetView topLeftCell="A1" zoomScale="130" zoomScaleNormal="130" zoomScaleSheetLayoutView="130" workbookViewId="0">
      <x:selection activeCell="E17" activeCellId="0" sqref="E17:E19"/>
    </x:sheetView>
  </x:sheetViews>
  <x:sheetFormatPr defaultColWidth="8.796875" defaultRowHeight="16.39999999999999857891"/>
  <x:cols>
    <x:col min="1" max="3" width="8.77734375" style="67" customWidth="1"/>
    <x:col min="4" max="4" width="8.77734375" customWidth="1"/>
    <x:col min="5" max="5" width="8.77734375" style="68" customWidth="1"/>
    <x:col min="6" max="8" width="8.77734375" customWidth="1"/>
    <x:col min="9" max="9" width="31.59375" customWidth="1"/>
    <x:col min="10" max="10" width="11.57421875" customWidth="1"/>
    <x:col min="11" max="11" width="8.796875" customWidth="1"/>
  </x:cols>
  <x:sheetData>
    <x:row r="1" spans="1:8">
      <x:c r="A1" s="219" t="s">
        <x:v>157</x:v>
      </x:c>
      <x:c r="B1" s="219"/>
      <x:c r="C1" s="219"/>
      <x:c r="D1" s="219"/>
      <x:c r="E1" s="219"/>
      <x:c r="F1" s="219"/>
      <x:c r="G1" s="219"/>
      <x:c r="H1" s="219"/>
    </x:row>
    <x:row r="2" spans="1:5" customFormat="1">
      <x:c r="A2" s="69"/>
      <x:c r="B2" s="69"/>
      <x:c r="C2" s="69"/>
      <x:c r="D2" s="69"/>
      <x:c r="E2" s="68"/>
    </x:row>
    <x:row r="3" spans="1:8" customFormat="1" ht="16.75">
      <x:c r="A3" s="70" t="s">
        <x:v>82</x:v>
      </x:c>
      <x:c r="B3" s="71" t="s">
        <x:v>63</x:v>
      </x:c>
      <x:c r="C3" s="220" t="s">
        <x:v>111</x:v>
      </x:c>
      <x:c r="D3" s="221"/>
      <x:c r="E3" s="222"/>
      <x:c r="F3" s="220" t="s">
        <x:v>126</x:v>
      </x:c>
      <x:c r="G3" s="221"/>
      <x:c r="H3" s="222"/>
    </x:row>
    <x:row r="4" spans="1:8" ht="16.75">
      <x:c r="A4" s="223" t="s">
        <x:v>130</x:v>
      </x:c>
      <x:c r="B4" s="72" t="s">
        <x:v>76</x:v>
      </x:c>
      <x:c r="C4" s="73">
        <x:f>31-5</x:f>
        <x:v>26</x:v>
      </x:c>
      <x:c r="D4" s="226">
        <x:f>SUM(C4:C13)</x:f>
        <x:v>260</x:v>
      </x:c>
      <x:c r="E4" s="229" t="s">
        <x:v>91</x:v>
      </x:c>
      <x:c r="F4" s="74">
        <x:f>31-5</x:f>
        <x:v>26</x:v>
      </x:c>
      <x:c r="G4" s="226">
        <x:f>SUM(F4:F13)</x:f>
        <x:v>260</x:v>
      </x:c>
      <x:c r="H4" s="232" t="s">
        <x:v>91</x:v>
      </x:c>
    </x:row>
    <x:row r="5" spans="1:8">
      <x:c r="A5" s="224"/>
      <x:c r="B5" s="75" t="s">
        <x:v>71</x:v>
      </x:c>
      <x:c r="C5" s="76">
        <x:f>30-4</x:f>
        <x:v>26</x:v>
      </x:c>
      <x:c r="D5" s="227"/>
      <x:c r="E5" s="230"/>
      <x:c r="F5" s="77">
        <x:f>30-4</x:f>
        <x:v>26</x:v>
      </x:c>
      <x:c r="G5" s="227"/>
      <x:c r="H5" s="233"/>
    </x:row>
    <x:row r="6" spans="1:9">
      <x:c r="A6" s="224"/>
      <x:c r="B6" s="75" t="s">
        <x:v>94</x:v>
      </x:c>
      <x:c r="C6" s="76">
        <x:f>31-5-1</x:f>
        <x:v>25</x:v>
      </x:c>
      <x:c r="D6" s="227"/>
      <x:c r="E6" s="230"/>
      <x:c r="F6" s="77">
        <x:f>31-4-1</x:f>
        <x:v>26</x:v>
      </x:c>
      <x:c r="G6" s="227"/>
      <x:c r="H6" s="233"/>
      <x:c r="I6" s="78" t="s">
        <x:v>51</x:v>
      </x:c>
    </x:row>
    <x:row r="7" spans="1:8">
      <x:c r="A7" s="224"/>
      <x:c r="B7" s="75" t="s">
        <x:v>67</x:v>
      </x:c>
      <x:c r="C7" s="76">
        <x:f>30-4</x:f>
        <x:v>26</x:v>
      </x:c>
      <x:c r="D7" s="227"/>
      <x:c r="E7" s="230"/>
      <x:c r="F7" s="77">
        <x:f>30-5</x:f>
        <x:v>25</x:v>
      </x:c>
      <x:c r="G7" s="227"/>
      <x:c r="H7" s="233"/>
    </x:row>
    <x:row r="8" spans="1:8">
      <x:c r="A8" s="224"/>
      <x:c r="B8" s="75" t="s">
        <x:v>74</x:v>
      </x:c>
      <x:c r="C8" s="76">
        <x:f>31-4</x:f>
        <x:v>27</x:v>
      </x:c>
      <x:c r="D8" s="227"/>
      <x:c r="E8" s="230"/>
      <x:c r="F8" s="77">
        <x:f>31-4</x:f>
        <x:v>27</x:v>
      </x:c>
      <x:c r="G8" s="227"/>
      <x:c r="H8" s="233"/>
    </x:row>
    <x:row r="9" spans="1:8">
      <x:c r="A9" s="224"/>
      <x:c r="B9" s="75" t="s">
        <x:v>73</x:v>
      </x:c>
      <x:c r="C9" s="76">
        <x:f>31-5</x:f>
        <x:v>26</x:v>
      </x:c>
      <x:c r="D9" s="227"/>
      <x:c r="E9" s="230"/>
      <x:c r="F9" s="77">
        <x:f>31-5</x:f>
        <x:v>26</x:v>
      </x:c>
      <x:c r="G9" s="227"/>
      <x:c r="H9" s="233"/>
    </x:row>
    <x:row r="10" spans="1:8">
      <x:c r="A10" s="224"/>
      <x:c r="B10" s="75" t="s">
        <x:v>87</x:v>
      </x:c>
      <x:c r="C10" s="76">
        <x:f>30-4</x:f>
        <x:v>26</x:v>
      </x:c>
      <x:c r="D10" s="227"/>
      <x:c r="E10" s="230"/>
      <x:c r="F10" s="77">
        <x:f>30-4</x:f>
        <x:v>26</x:v>
      </x:c>
      <x:c r="G10" s="227"/>
      <x:c r="H10" s="233"/>
    </x:row>
    <x:row r="11" spans="1:9">
      <x:c r="A11" s="224"/>
      <x:c r="B11" s="75" t="s">
        <x:v>83</x:v>
      </x:c>
      <x:c r="C11" s="76">
        <x:f>31-4-1</x:f>
        <x:v>26</x:v>
      </x:c>
      <x:c r="D11" s="227"/>
      <x:c r="E11" s="230"/>
      <x:c r="F11" s="77">
        <x:f>31-4-1</x:f>
        <x:v>26</x:v>
      </x:c>
      <x:c r="G11" s="227"/>
      <x:c r="H11" s="233"/>
      <x:c r="I11" s="78" t="s">
        <x:v>148</x:v>
      </x:c>
    </x:row>
    <x:row r="12" spans="1:8">
      <x:c r="A12" s="224"/>
      <x:c r="B12" s="75" t="s">
        <x:v>78</x:v>
      </x:c>
      <x:c r="C12" s="76">
        <x:f>30-5</x:f>
        <x:v>25</x:v>
      </x:c>
      <x:c r="D12" s="227"/>
      <x:c r="E12" s="230"/>
      <x:c r="F12" s="77">
        <x:f>30-5</x:f>
        <x:v>25</x:v>
      </x:c>
      <x:c r="G12" s="227"/>
      <x:c r="H12" s="233"/>
    </x:row>
    <x:row r="13" spans="1:8" ht="16.75">
      <x:c r="A13" s="225"/>
      <x:c r="B13" s="79" t="s">
        <x:v>77</x:v>
      </x:c>
      <x:c r="C13" s="80">
        <x:f>31-4</x:f>
        <x:v>27</x:v>
      </x:c>
      <x:c r="D13" s="228"/>
      <x:c r="E13" s="231"/>
      <x:c r="F13" s="81">
        <x:f>31-4</x:f>
        <x:v>27</x:v>
      </x:c>
      <x:c r="G13" s="228"/>
      <x:c r="H13" s="234"/>
    </x:row>
    <x:row r="14" spans="1:8" ht="16.75">
      <x:c r="A14" s="223" t="s">
        <x:v>106</x:v>
      </x:c>
      <x:c r="B14" s="72" t="s">
        <x:v>85</x:v>
      </x:c>
      <x:c r="C14" s="73">
        <x:f>31-5</x:f>
        <x:v>26</x:v>
      </x:c>
      <x:c r="D14" s="226">
        <x:f>SUM(C14:C15)</x:f>
        <x:v>49</x:v>
      </x:c>
      <x:c r="E14" s="229" t="s">
        <x:v>91</x:v>
      </x:c>
      <x:c r="F14" s="74">
        <x:f>31-4</x:f>
        <x:v>27</x:v>
      </x:c>
      <x:c r="G14" s="226">
        <x:f>SUM(F14:F15)</x:f>
        <x:v>50</x:v>
      </x:c>
      <x:c r="H14" s="232" t="s">
        <x:v>91</x:v>
      </x:c>
    </x:row>
    <x:row r="15" spans="1:9" ht="16.75">
      <x:c r="A15" s="225"/>
      <x:c r="B15" s="79" t="s">
        <x:v>81</x:v>
      </x:c>
      <x:c r="C15" s="80">
        <x:f>28-4-1</x:f>
        <x:v>23</x:v>
      </x:c>
      <x:c r="D15" s="228"/>
      <x:c r="E15" s="231"/>
      <x:c r="F15" s="81">
        <x:f>28-4-1</x:f>
        <x:v>23</x:v>
      </x:c>
      <x:c r="G15" s="228"/>
      <x:c r="H15" s="234"/>
      <x:c r="I15" s="78" t="s">
        <x:v>140</x:v>
      </x:c>
    </x:row>
    <x:row r="16" spans="1:8" ht="16.75">
      <x:c r="A16" s="235" t="s">
        <x:v>90</x:v>
      </x:c>
      <x:c r="B16" s="236"/>
      <x:c r="C16" s="82">
        <x:f>SUM(C4:C15)</x:f>
        <x:v>309</x:v>
      </x:c>
      <x:c r="D16" s="83">
        <x:f>D4+D14</x:f>
        <x:v>309</x:v>
      </x:c>
      <x:c r="E16" s="84" t="s">
        <x:v>91</x:v>
      </x:c>
      <x:c r="F16" s="85">
        <x:f>SUM(F4:F15)</x:f>
        <x:v>310</x:v>
      </x:c>
      <x:c r="G16" s="83">
        <x:f>G4+G14</x:f>
        <x:v>310</x:v>
      </x:c>
      <x:c r="H16" s="84" t="s">
        <x:v>91</x:v>
      </x:c>
    </x:row>
  </x:sheetData>
  <x:mergeCells count="14">
    <x:mergeCell ref="A1:H1"/>
    <x:mergeCell ref="C3:E3"/>
    <x:mergeCell ref="F3:H3"/>
    <x:mergeCell ref="A4:A13"/>
    <x:mergeCell ref="D4:D13"/>
    <x:mergeCell ref="E4:E13"/>
    <x:mergeCell ref="G4:G13"/>
    <x:mergeCell ref="H4:H13"/>
    <x:mergeCell ref="A14:A15"/>
    <x:mergeCell ref="D14:D15"/>
    <x:mergeCell ref="E14:E15"/>
    <x:mergeCell ref="G14:G15"/>
    <x:mergeCell ref="H14:H15"/>
    <x:mergeCell ref="A16:B16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부칙</vt:lpstr>
      <vt:lpstr>통계</vt:lpstr>
      <vt:lpstr>2025년 연차시간 및 미사용수당</vt:lpstr>
      <vt:lpstr>2026년 연차시간(`25 토요일 휴무)</vt:lpstr>
      <vt:lpstr>2026년 연차시간(`25 일요일 휴무)</vt:lpstr>
      <vt:lpstr>2025학년도 근로일</vt:lpstr>
    </vt:vector>
  </ep:TitlesOfParts>
  <ep:TotalTime>7966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671</cp:revision>
  <cp:lastPrinted>2025-10-27T05:35:47.941</cp:lastPrinted>
  <dcterms:created xsi:type="dcterms:W3CDTF">2010-06-25T05:32:43.000</dcterms:created>
  <dcterms:modified xsi:type="dcterms:W3CDTF">2026-07-05T23:22:49.374</dcterms:modified>
  <cp:version>1200.0100.01</cp:version>
</cp:coreProperties>
</file>