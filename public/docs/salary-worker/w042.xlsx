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안새길-연구회(교육)\05_퇴직금\02_계산식\"/>
    </mc:Choice>
  </mc:AlternateContent>
  <x:bookViews>
    <x:workbookView xWindow="0" yWindow="0" windowWidth="28545" windowHeight="11340" activeTab="5"/>
  </x:bookViews>
  <x:sheets>
    <x:sheet name="TOC &amp; Legend" sheetId="1" r:id="rId4"/>
    <x:sheet name="기준단가표" sheetId="2" r:id="rId5"/>
    <x:sheet name="통상임금 계산마스터" sheetId="3" r:id="rId6"/>
    <x:sheet name="개인별 예상소요액 내역서" sheetId="4" r:id="rId7"/>
    <x:sheet name="DB형 상세 산정서" sheetId="5" r:id="rId8"/>
    <x:sheet name="DC형 연간 정산서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<x:sst xmlns:r="http://schemas.openxmlformats.org/officeDocument/2006/relationships" xmlns:c="http://schemas.openxmlformats.org/drawingml/2006/chart" xmlns:x="http://schemas.openxmlformats.org/spreadsheetml/2006/main" count="415" uniqueCount="240">
  <x:si>
    <x:t>성명</x:t>
  </x:si>
  <x:si>
    <x:t>※ 근로기준법상 '평균임금'과 '통상임금'을 대조하여 가장 높은 금액을 최저보장액으로 적용합니다.</x:t>
  </x:si>
  <x:si>
    <x:t>수식에 의해 실시간 연동되어 자동 계산되는 셀 (연초록색 음영 - 절대 임의 수정 금지)</x:t>
  </x:si>
  <x:si>
    <x:t>[안내] 이 시트는 개인별 퇴직 시점 또는 연말 정산 시점 평균임금 산정 증빙용 문서입니다.</x:t>
  </x:si>
  <x:si>
    <x:t>급여 매뉴얼상의 법정 단가 및 기본 세팅 수치 (수정 필요 시 기준단가 시트에서 수정)</x:t>
  </x:si>
  <x:si>
    <x:t>교특</x:t>
  </x:si>
  <x:si>
    <x:t>DB</x:t>
  </x:si>
  <x:si>
    <x:t>분담</x:t>
  </x:si>
  <x:si>
    <x:t>조리사</x:t>
  </x:si>
  <x:si>
    <x:t>공립</x:t>
  </x:si>
  <x:si>
    <x:t>재원</x:t>
  </x:si>
  <x:si>
    <x:t>안성</x:t>
  </x:si>
  <x:si>
    <x:t>대기행</x:t>
  </x:si>
  <x:si>
    <x:t>최신입</x:t>
  </x:si>
  <x:si>
    <x:t>각종</x:t>
  </x:si>
  <x:si>
    <x:t>학교명</x:t>
  </x:si>
  <x:si>
    <x:t>급별</x:t>
  </x:si>
  <x:si>
    <x:t>설립별</x:t>
  </x:si>
  <x:si>
    <x:t>김조리</x:t>
  </x:si>
  <x:si>
    <x:t>각종중</x:t>
  </x:si>
  <x:si>
    <x:t>년</x:t>
  </x:si>
  <x:si>
    <x:t>입사일</x:t>
  </x:si>
  <x:si>
    <x:t>시트명</x:t>
  </x:si>
  <x:si>
    <x:t>원</x:t>
  </x:si>
  <x:si>
    <x:t>항목</x:t>
  </x:si>
  <x:si>
    <x:t>박실무</x:t>
  </x:si>
  <x:si>
    <x:t>초등</x:t>
  </x:si>
  <x:si>
    <x:t>8시간</x:t>
  </x:si>
  <x:si>
    <x:t>설명</x:t>
  </x:si>
  <x:si>
    <x:t>1일 소정근로시간</x:t>
  </x:si>
  <x:si>
    <x:t>기본급 (본봉)</x:t>
  </x:si>
  <x:si>
    <x:t>직전 2개월 (1월)</x:t>
  </x:si>
  <x:si>
    <x:t>연 단위 임금 소계</x:t>
  </x:si>
  <x:si>
    <x:t>시간급 통상임금</x:t>
  </x:si>
  <x:si>
    <x:t>직전 1개월 (2월)</x:t>
  </x:si>
  <x:si>
    <x:t>2026-02-28</x:t>
  </x:si>
  <x:si>
    <x:t>2008-03-01</x:t>
  </x:si>
  <x:si>
    <x:t>총 계속근로일수</x:t>
  </x:si>
  <x:si>
    <x:t>연장/야간/휴일수당</x:t>
  </x:si>
  <x:si>
    <x:t>잔여 연차일수
[B]</x:t>
  </x:si>
  <x:si>
    <x:t>직무수당/보전금</x:t>
  </x:si>
  <x:si>
    <x:t>월 단위 임금 소계</x:t>
  </x:si>
  <x:si>
    <x:t>평균임금 산입율</x:t>
  </x:si>
  <x:si>
    <x:t>확정급여형(DB형) 퇴직금 산정서</x:t>
  </x:si>
  <x:si>
    <x:t>합계 (Grand Total)</x:t>
  </x:si>
  <x:si>
    <x:t>3/12 반영 (전년도 발생분)</x:t>
  </x:si>
  <x:si>
    <x:t>2025회계연도
실소요 퇴직금(원)</x:t>
  </x:si>
  <x:si>
    <x:t>본봉 및 수당 법정 단가 관리</x:t>
  </x:si>
  <x:si>
    <x:t>DC형 부담금
(A × 1/12)</x:t>
  </x:si>
  <x:si>
    <x:t>2026년 3월부터 신설 수당</x:t>
  </x:si>
  <x:si>
    <x:t>2026학년도 (급간 4.1만)</x:t>
  </x:si>
  <x:si>
    <x:t>1. 기본급 및 고정 수당 단가</x:t>
  </x:si>
  <x:si>
    <x:t>주요 제공 기능 (시트 목록)</x:t>
  </x:si>
  <x:si>
    <x:t>2025학년도 (급간 4.0만)</x:t>
  </x:si>
  <x:si>
    <x:t>직종 및 연차별 통상시급 자동 산출</x:t>
  </x:si>
  <x:si>
    <x:t>④ 실 계속근로기간 (년수 환산)</x:t>
  </x:si>
  <x:si>
    <x:t>※ 예상소요액 내역서 시트의 '1일 통상임금(A)' 계산 시 자동으로 참조되는 핵심 데이터베이스 테이블입니다.</x:t>
  </x:si>
  <x:si>
    <x:t>[안내] 매년 말 금융기관에 부담금을 이관할 때, 아래의 수당들을 총합하여 1/12을 최종 송금해 주시면 됩니다.</x:t>
  </x:si>
  <x:si>
    <x:t>본 프로그램은 경기도교육청 교육공무직원 급여 업무 매뉴얼 및 단체(임금)협약 개정안을 반영하여 제작되었습니다.</x:t>
  </x:si>
  <x:si>
    <x:t>영양사, 조리사, 조리실무사의 모든 근속연수별 1일 통상임금 및 시간급 통상임금을 연도별로 자동 산정 및 시각화</x:t>
  </x:si>
  <x:si>
    <x:t>평균임금과 통상임금을 정밀 비교하는 '통상임금 최저보장제' 수식과 정산 명세서를 PDF 증빙용으로 출력 가능</x:t>
  </x:si>
  <x:si>
    <x:t>시,군명</x:t>
  </x:si>
  <x:si>
    <x:t>기타사항</x:t>
  </x:si>
  <x:si>
    <x:t>퇴직금 유형</x:t>
  </x:si>
  <x:si>
    <x:t>근무자 10</x:t>
  </x:si>
  <x:si>
    <x:t>가산연수 비고</x:t>
  </x:si>
  <x:si>
    <x:t>1년 미만</x:t>
  </x:si>
  <x:si>
    <x:t>위험수당</x:t>
  </x:si>
  <x:si>
    <x:t>조리실무사</x:t>
  </x:si>
  <x:si>
    <x:t>교육지원청</x:t>
  </x:si>
  <x:si>
    <x:t>4년 이상</x:t>
  </x:si>
  <x:si>
    <x:t>11년 이상</x:t>
  </x:si>
  <x:si>
    <x:t>14년 이상</x:t>
  </x:si>
  <x:si>
    <x:t>3년 이상</x:t>
  </x:si>
  <x:si>
    <x:t>9년 이상</x:t>
  </x:si>
  <x:si>
    <x:t>18년 이상</x:t>
  </x:si>
  <x:si>
    <x:t>근무자 1</x:t>
  </x:si>
  <x:si>
    <x:t>조리사 시급</x:t>
  </x:si>
  <x:si>
    <x:t>8년 이상</x:t>
  </x:si>
  <x:si>
    <x:t>17년 이상</x:t>
  </x:si>
  <x:si>
    <x:t>22년 이상</x:t>
  </x:si>
  <x:si>
    <x:t>6년 이상</x:t>
  </x:si>
  <x:si>
    <x:t>13년 이상</x:t>
  </x:si>
  <x:si>
    <x:t>2년 이상</x:t>
  </x:si>
  <x:si>
    <x:t>21년 이상</x:t>
  </x:si>
  <x:si>
    <x:t>5년 이상</x:t>
  </x:si>
  <x:si>
    <x:t>12년 이상</x:t>
  </x:si>
  <x:si>
    <x:t>15년 이상</x:t>
  </x:si>
  <x:si>
    <x:t>조리사 1일급</x:t>
  </x:si>
  <x:si>
    <x:t>20년 이상</x:t>
  </x:si>
  <x:si>
    <x:t>1년 이상</x:t>
  </x:si>
  <x:si>
    <x:t>주요 용도</x:t>
  </x:si>
  <x:si>
    <x:t>대기용 공란</x:t>
  </x:si>
  <x:si>
    <x:t>근무자 3</x:t>
  </x:si>
  <x:si>
    <x:t>근무자 2</x:t>
  </x:si>
  <x:si>
    <x:t>영양사 1일급</x:t>
  </x:si>
  <x:si>
    <x:t>16년 이상</x:t>
  </x:si>
  <x:si>
    <x:t>안성배움학교</x:t>
  </x:si>
  <x:si>
    <x:t>10년 이상</x:t>
  </x:si>
  <x:si>
    <x:t>영양사 시급</x:t>
  </x:si>
  <x:si>
    <x:t>7년 이상</x:t>
  </x:si>
  <x:si>
    <x:t>19년 이상</x:t>
  </x:si>
  <x:si>
    <x:t>근무자 6</x:t>
  </x:si>
  <x:si>
    <x:t>근무자 11</x:t>
  </x:si>
  <x:si>
    <x:t>근속구분</x:t>
  </x:si>
  <x:si>
    <x:t>야간근로수당</x:t>
  </x:si>
  <x:si>
    <x:t>연차수당</x:t>
  </x:si>
  <x:si>
    <x:t>연장가산금</x:t>
  </x:si>
  <x:si>
    <x:t>퇴직일(예정)</x:t>
  </x:si>
  <x:si>
    <x:t>23년 이상</x:t>
  </x:si>
  <x:si>
    <x:t>직무관련수당</x:t>
  </x:si>
  <x:si>
    <x:t>근무자 4</x:t>
  </x:si>
  <x:si>
    <x:t>위험근무수당</x:t>
  </x:si>
  <x:si>
    <x:t>연장근로수당</x:t>
  </x:si>
  <x:si>
    <x:t>휴일근무수당</x:t>
  </x:si>
  <x:si>
    <x:t>수당구분</x:t>
  </x:si>
  <x:si>
    <x:t>3개월 소계</x:t>
  </x:si>
  <x:si>
    <x:t>24년 이상</x:t>
  </x:si>
  <x:si>
    <x:t>근무자 5</x:t>
  </x:si>
  <x:si>
    <x:t>근무자 8</x:t>
  </x:si>
  <x:si>
    <x:t>근속연수</x:t>
  </x:si>
  <x:si>
    <x:t>15966</x:t>
  </x:si>
  <x:si>
    <x:t>임금구분</x:t>
  </x:si>
  <x:si>
    <x:t>사용자 입력란</x:t>
  </x:si>
  <x:si>
    <x:t>급여(본봉)</x:t>
  </x:si>
  <x:si>
    <x:t>면허가산수당</x:t>
  </x:si>
  <x:si>
    <x:t>예시 셀</x:t>
  </x:si>
  <x:si>
    <x:t>기타 비고</x:t>
  </x:si>
  <x:si>
    <x:t>근무자 9</x:t>
  </x:si>
  <x:si>
    <x:t>3/12 반영</x:t>
  </x:si>
  <x:si>
    <x:t>[샘플]</x:t>
  </x:si>
  <x:si>
    <x:t>근무자 7</x:t>
  </x:si>
  <x:si>
    <x:t>기준정보 및 고정값</x:t>
  </x:si>
  <x:si>
    <x:t>자동 계산 결과</x:t>
  </x:si>
  <x:si>
    <x:t>2년 차 (만2년)</x:t>
  </x:si>
  <x:si>
    <x:t>영양사 면허가산수당</x:t>
  </x:si>
  <x:si>
    <x:t>영양사 식생활지도수당</x:t>
  </x:si>
  <x:si>
    <x:t>1년 차 (만1년)</x:t>
  </x:si>
  <x:si>
    <x:t>오류 및 확인 필요</x:t>
  </x:si>
  <x:si>
    <x:t>연간 임금총액
(A)</x:t>
  </x:si>
  <x:si>
    <x:t>조리실무사 1일급</x:t>
  </x:si>
  <x:si>
    <x:t>1. 기준단가표</x:t>
  </x:si>
  <x:si>
    <x:t>상한 연장 적용</x:t>
  </x:si>
  <x:si>
    <x:t>비고 및 관련 법령</x:t>
  </x:si>
  <x:si>
    <x:t>6년 차 (만6년)</x:t>
  </x:si>
  <x:si>
    <x:t>명절휴가비 (월할분)</x:t>
  </x:si>
  <x:si>
    <x:t>정기상여금 (월할분)</x:t>
  </x:si>
  <x:si>
    <x:t>4년 차 (만4년)</x:t>
  </x:si>
  <x:si>
    <x:t>9년 차 (만9년)</x:t>
  </x:si>
  <x:si>
    <x:t>8년 차 (만8년)</x:t>
  </x:si>
  <x:si>
    <x:t>조리실무사 시급</x:t>
  </x:si>
  <x:si>
    <x:t>5년 차 (만5년)</x:t>
  </x:si>
  <x:si>
    <x:t>7년 차 (만7년)</x:t>
  </x:si>
  <x:si>
    <x:t>3년 차 (만3년)</x:t>
  </x:si>
  <x:si>
    <x:t>조리사 면허수당</x:t>
  </x:si>
  <x:si>
    <x:t>2025학년도 (구단가)</x:t>
  </x:si>
  <x:si>
    <x:t>2026학년도 (신단가)</x:t>
  </x:si>
  <x:si>
    <x:t>3. 예상소요액 내역서</x:t>
  </x:si>
  <x:si>
    <x:t>유형1 기본급 (영양사 등)</x:t>
  </x:si>
  <x:si>
    <x:t>15년 차 (만15년)</x:t>
  </x:si>
  <x:si>
    <x:t>4. DB형 상세 산정서</x:t>
  </x:si>
  <x:si>
    <x:t>연차유급휴가 미사용수당</x:t>
  </x:si>
  <x:si>
    <x:t>대상 사용자 및 업무 흐름</x:t>
  </x:si>
  <x:si>
    <x:t>2. 통상임금 계산마스터</x:t>
  </x:si>
  <x:si>
    <x:t>5. DC형 연간 정산서</x:t>
  </x:si>
  <x:si>
    <x:t>평균임금 반영액 (원)</x:t>
  </x:si>
  <x:si>
    <x:t>12년 차 (만12년)</x:t>
  </x:si>
  <x:si>
    <x:t>17년 차 (만17년)</x:t>
  </x:si>
  <x:si>
    <x:t>23년 차 (만23년)</x:t>
  </x:si>
  <x:si>
    <x:t>1일 통상임금 (최저보장액)</x:t>
  </x:si>
  <x:si>
    <x:t>22년 차 (만22년)</x:t>
  </x:si>
  <x:si>
    <x:t>연간 총 지급액 (원)</x:t>
  </x:si>
  <x:si>
    <x:t>14년 차 (만14년)</x:t>
  </x:si>
  <x:si>
    <x:t>24년 차 (만24년)</x:t>
  </x:si>
  <x:si>
    <x:t>18년 차 (만18년)</x:t>
  </x:si>
  <x:si>
    <x:t>장기근무가산금
(근속수당)</x:t>
  </x:si>
  <x:si>
    <x:t>11년 차 (만11년)</x:t>
  </x:si>
  <x:si>
    <x:t>조리(실무)사 위험수당</x:t>
  </x:si>
  <x:si>
    <x:t>16년 차 (만16년)</x:t>
  </x:si>
  <x:si>
    <x:t>20년 차 (만20년)</x:t>
  </x:si>
  <x:si>
    <x:t>21년 차 (만21년)</x:t>
  </x:si>
  <x:si>
    <x:t>2. 근속수당 연수별 단가표</x:t>
  </x:si>
  <x:si>
    <x:t>1일 통상임금
(원) [A]</x:t>
  </x:si>
  <x:si>
    <x:t>해당 월의 역(歷) 일수</x:t>
  </x:si>
  <x:si>
    <x:t>퇴직금은 세외적립 DB 유지</x:t>
  </x:si>
  <x:si>
    <x:t>※ 작성요령 및 주의사항:</x:t>
  </x:si>
  <x:si>
    <x:t>근속수당 (장기근무가산금)</x:t>
  </x:si>
  <x:si>
    <x:t>직전 3개월 (12월)</x:t>
  </x:si>
  <x:si>
    <x:t>19년 차 (만19년)</x:t>
  </x:si>
  <x:si>
    <x:t>10년 차 (만10년)</x:t>
  </x:si>
  <x:si>
    <x:t>13년 차 (만13년)</x:t>
  </x:si>
  <x:si>
    <x:t>임금체불 방지를 위해 법정 최저보장 한도 미달 시 또는 잔여일수가 초과 시 경고 알림</x:t>
  </x:si>
  <x:si>
    <x:t>★ 최종 산정 DB형 퇴직급여액 (= ③ 1일단가 × 30일 × ④ 계속근로년수)</x:t>
  </x:si>
  <x:si>
    <x:t>3. '퇴직금 유형' 열(N)에서 'DB'를 선택할 경우, 2025학년도 말 지급의무가 발생하는 실소요 퇴직금이 산정되며, 'DC'는 해당연도 부담금 1/12이 추정 산출됩니다.</x:t>
  </x:si>
  <x:si>
    <x:t>이정순(시설미화원)</x:t>
  </x:si>
  <x:si>
    <x:t>2. '잔여 연차일수' 열(L)은 소수점이 있을 경우 반드시 정수로 올림하여 수기 입력해 주세요. (예: 16.5일은 17일로 입력)</x:t>
  </x:si>
  <x:si>
    <x:t>정기상여금</x:t>
  </x:si>
  <x:si>
    <x:t>정액급식비</x:t>
  </x:si>
  <x:si>
    <x:t>명절휴가비</x:t>
  </x:si>
  <x:si>
    <x:t>② 1일 통상임금 최저보장액 (= 시간급 통상임금 × 8시간)</x:t>
  </x:si>
  <x:si>
    <x:t>[평균임금 계산] 직전 1년간 지급액의 3/12 산입 내역</x:t>
  </x:si>
  <x:si>
    <x:t>경기도교육청 교육공무직원 기준 단가표 (2025 vs 2026)</x:t>
  </x:si>
  <x:si>
    <x:t>1. '직종' 열(I) 및 '근속연수' 열(J)을 목록에서 정확하게 선택하면, 1일 통상임금(K)이 '통상임금 계산마스터' 시트에서 자동으로 검색됩니다.</x:t>
  </x:si>
  <x:si>
    <x:t>직종</x:t>
  </x:si>
  <x:si>
    <x:t>구분</x:t>
  </x:si>
  <x:si>
    <x:t>★주요 작성 시트★ 개인별 연차 및 퇴직금 산정</x:t>
  </x:si>
  <x:si>
    <x:t>교육공무직원 직종별/연차별 통상임금 매트릭스</x:t>
  </x:si>
  <x:si>
    <x:t>연 1,000,000원 ÷ 12개월 동일 적용</x:t>
  </x:si>
  <x:si>
    <x:t>① 1일 평균임금 (= [3개월 총임금 + 1년 반영액] ÷ 3개월 일수)</x:t>
  </x:si>
  <x:si>
    <x:t>2025년 연 185만원 -&gt; 2026년 연 2,144,500원으로 인상</x:t>
  </x:si>
  <x:si>
    <x:t>주무관님이 직접 타이핑하거나 드롭다운을 선택해야 하는 셀 (연파란색 음영)</x:t>
  </x:si>
  <x:si>
    <x:t>확정기여형(DC형) 퇴직연금 연간 납입 명세 대장 (13개 클래식 수당 반영)</x:t>
  </x:si>
  <x:si>
    <x:t>DC형 연간 임금총액 및 부담금 관리</x:t>
  </x:si>
  <x:si>
    <x:t>2025학년도 임금협약 개정분 소급 반영</x:t>
  </x:si>
  <x:si>
    <x:t>2025년 신규채용자, 연차는 월차로 정산</x:t>
  </x:si>
  <x:si>
    <x:t>2026년 2유형 기본급의 5% 상당액</x:t>
  </x:si>
  <x:si>
    <x:t>유형2 기본급 (조리사, 조리실무사 등)</x:t>
  </x:si>
  <x:si>
    <x:t>3월 연차수당, 퇴직금
소급지원액(원)</x:t>
  </x:si>
  <x:si>
    <x:t>DB형 퇴직금 세외적립 및 정밀 정산</x:t>
  </x:si>
  <x:si>
    <x:t>2026년 1유형 기본급의 5% 상당액</x:t>
  </x:si>
  <x:si>
    <x:t>잔여 연차수당
(원) [C]=[A]×[B]</x:t>
  </x:si>
  <x:si>
    <x:t>2025년도 이전 단가 및 2026년도 인상된 신단가(78,500원 본봉 인상 등)와 1~24년 근속수당 일괄 수록</x:t>
  </x:si>
  <x:si>
    <x:t>중도 입사자 및 퇴직자의 연차유급휴가 및 DB/DC형 퇴직금 실소요액 예산을 과다/과소 추계 없이 산정하도록 돕습니다.</x:t>
  </x:si>
  <x:si>
    <x:t>교육지원청 제출용 '개인별 연차수당 및 퇴직금 예상소요액 내역'을 드롭다운 선택만으로 자동 수식 연동해 1초 만에 완성</x:t>
  </x:si>
  <x:si>
    <x:t>특히 2024년 12월부터 시행된 '명절휴가비 및 정기상여금의 통상임금 산입'에 따른 임금 인상분을 완벽히 계산하고,</x:t>
  </x:si>
  <x:si>
    <x:t>Generated 2026-08-27 | v2.0 (경기도교육청 2026 급여 매뉴얼 및 단체협약 소급 기준 완벽 반영)</x:t>
  </x:si>
  <x:si>
    <x:t>선배 주무관들이 사용하던 클래식한 13개 세부 수당 열(시간외수당 포함)을 DC형 퇴직연금 1/12 공식에 완벽 대입하는 대장</x:t>
  </x:si>
  <x:si>
    <x:t>월 10,000원 인상 (2026.1.1.부터 시행)</x:t>
  </x:si>
  <x:si>
    <x:t>교육공무직 퇴직금 &amp; 연차수당 예상소요액 통합 계산기</x:t>
  </x:si>
  <x:si>
    <x:t>월 20,000원 인상 (학교: '26.3월부터 적용)</x:t>
  </x:si>
  <x:si>
    <x:t>월 78,500원 인상 (학교: '26.3월부터 적용)</x:t>
  </x:si>
  <x:si>
    <x:t>[평균임금 계산] 직전 3개월간 월별 지급 임금 내역</x:t>
  </x:si>
  <x:si>
    <x:t>시트 색상 가이드 및 범례 (Color Legend)</x:t>
  </x:si>
  <x:si>
    <x:t>특수운영직군</x:t>
  </x:si>
  <x:si>
    <x:t>③ 적용할 1일 퇴직단가 (= MAX(① 평균임금, ② 통상임금))</x:t>
  </x:si>
  <x:si>
    <x:t>[구단가] 2025학년도 통상임금 산출표 (1일 8시간, 주 40시간)</x:t>
  </x:si>
  <x:si>
    <x:t>[신단가] 2026학년도 통상임금 산출표 (1일 8시간, 주 40시간)</x:t>
  </x:si>
  <x:si>
    <x:t>개인별 연차수당 및 퇴직금 예상소요액 내역 (2025회계연도 기준)</x:t>
  </x:si>
  <x:si>
    <x:t>[최종 결산] 평균임금 vs 통상임금 대조 및 최종 퇴직급여 산정</x:t>
  </x:si>
  <x:si>
    <x:t>★ 예산이 과다 추계되지 않도록 신중을 기하여 작성해 주시기 바랍니다.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</x:si>
</x:sst>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.0"/>
    <x:numFmt numFmtId="165" formatCode="0.0000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595959"/>
          <x:i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595959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9"/>
          <x:color rgb="ff595959"/>
          <hs:size val="100"/>
          <hs:ratio val="100"/>
          <hs:spacing val="0"/>
          <hs:offset val="0"/>
        </x:font>
      </mc:Choice>
      <mc:Fallback>
        <x:font>
          <x:name val="Calibri"/>
          <x:sz val="9"/>
          <x:color rgb="ff595959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2f5496"/>
        <x:bgColor rgb="ff2f5496"/>
      </x:patternFill>
    </x:fill>
    <x:fill>
      <x:patternFill patternType="solid">
        <x:fgColor rgb="ffdce6f1"/>
        <x:bgColor rgb="ffdce6f1"/>
      </x:patternFill>
    </x:fill>
    <x:fill>
      <x:patternFill patternType="solid">
        <x:fgColor rgb="ffe2efda"/>
        <x:bgColor rgb="ffe2efda"/>
      </x:patternFill>
    </x:fill>
    <x:fill>
      <x:patternFill patternType="solid">
        <x:fgColor rgb="ffd6dce4"/>
        <x:bgColor rgb="ffd6dce4"/>
      </x:patternFill>
    </x:fill>
    <x:fill>
      <x:patternFill patternType="solid">
        <x:fgColor rgb="fffff2cc"/>
        <x:bgColor rgb="fffff2cc"/>
      </x:patternFill>
    </x:fill>
    <x:fill>
      <x:patternFill patternType="solid">
        <x:fgColor rgb="ff4472c4"/>
        <x:bgColor rgb="ff4472c4"/>
      </x:patternFill>
    </x:fill>
    <x:fill>
      <x:patternFill patternType="solid">
        <x:fgColor rgb="ffc6e0b4"/>
        <x:bgColor rgb="ffc6e0b4"/>
      </x:patternFill>
    </x:fill>
    <x:fill>
      <x:patternFill patternType="solid">
        <x:fgColor rgb="ffa9d08e"/>
        <x:bgColor rgb="ffa9d08e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medium">
        <x:color rgb="ff2f5496"/>
      </x:bottom>
    </x:border>
    <x:border>
      <x:left>
        <x:color auto="1"/>
      </x:left>
      <x:right>
        <x:color auto="1"/>
      </x:right>
      <x:top style="thin">
        <x:color rgb="ffd9d9d9"/>
      </x:top>
      <x:bottom style="double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0">
    <x:xf numFmtId="0" fontId="0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0" borderId="0" xfId="0" applyAlignment="1">
      <x:alignment horizontal="general" vertical="bottom"/>
    </x:xf>
    <x:xf numFmtId="0" fontId="9" fillId="0" borderId="0" xfId="0" applyAlignment="1">
      <x:alignment horizontal="general" vertical="bottom"/>
    </x:xf>
    <x:xf numFmtId="0" fontId="10" fillId="2" borderId="0" xfId="0" applyAlignment="1">
      <x:alignment horizontal="general" vertical="bottom"/>
    </x:xf>
    <x:xf numFmtId="0" fontId="8" fillId="0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3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Border="1" applyAlignment="1">
          <x:alignment horizontal="center" vertical="bottom"/>
        </x:xf>
      </mc:Fallback>
    </mc:AlternateContent>
    <x:xf numFmtId="0" fontId="9" fillId="0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4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Border="1" applyAlignment="1">
          <x:alignment horizontal="center" vertical="bottom"/>
        </x:xf>
      </mc:Fallback>
    </mc:AlternateContent>
    <x:xf numFmtId="0" fontId="10" fillId="7" borderId="0" xfId="0" applyAlignment="1">
      <x:alignment horizontal="general" vertical="bottom"/>
    </x:xf>
    <x:xf numFmtId="3" fontId="9" fillId="0" borderId="1" xfId="0" applyBorder="1" applyAlignment="1">
      <x:alignment horizontal="general" vertical="bottom"/>
    </x:xf>
    <x:xf numFmtId="0" fontId="11" fillId="0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7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" xfId="0" applyBorder="1" applyAlignment="1">
          <x:alignment horizontal="center" vertical="bottom"/>
        </x:xf>
      </mc:Fallback>
    </mc:AlternateContent>
    <x:xf numFmtId="164" fontId="9" fillId="0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2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" xfId="0" applyBorder="1" applyAlignment="1">
          <x:alignment horizontal="center" vertical="center" wrapText="1"/>
        </x:xf>
      </mc:Fallback>
    </mc:AlternateContent>
    <x:xf numFmtId="0" fontId="9" fillId="3" borderId="1" xfId="0" applyBorder="1" applyAlignment="1">
      <x:alignment horizontal="general" vertical="bottom"/>
    </x:xf>
    <x:xf numFmtId="0" fontId="8" fillId="3" borderId="1" xfId="0" applyBorder="1" applyAlignment="1">
      <x:alignment horizontal="general" vertical="bottom"/>
    </x:xf>
    <x:xf numFmtId="3" fontId="8" fillId="4" borderId="1" xfId="0" applyBorder="1" applyAlignment="1">
      <x:alignment horizontal="general" vertical="bottom"/>
    </x:xf>
    <x:xf numFmtId="3" fontId="9" fillId="3" borderId="1" xfId="0" applyBorder="1" applyAlignment="1">
      <x:alignment horizontal="general" vertical="bottom"/>
    </x:xf>
    <x:xf numFmtId="3" fontId="9" fillId="4" borderId="1" xfId="0" applyBorder="1" applyAlignment="1">
      <x:alignment horizontal="general" vertical="bottom"/>
    </x:xf>
    <x:xf numFmtId="0" fontId="11" fillId="3" borderId="1" xfId="0" applyBorder="1" applyAlignment="1">
      <x:alignment horizontal="general" vertical="bottom"/>
    </x:xf>
    <x:xf numFmtId="0" fontId="8" fillId="2" borderId="3" xfId="0" applyBorder="1" applyAlignment="1">
      <x:alignment horizontal="general" vertical="bottom"/>
    </x:xf>
    <x:xf numFmtId="0" fontId="0" fillId="2" borderId="3" xfId="0" applyBorder="1" applyAlignment="1">
      <x:alignment horizontal="general" vertical="bottom"/>
    </x:xf>
    <x:xf numFmtId="3" fontId="8" fillId="2" borderId="3" xfId="0" applyBorder="1" applyAlignment="1">
      <x:alignment horizontal="general" vertical="bottom"/>
    </x:xf>
    <x:xf numFmtId="0" fontId="8" fillId="5" borderId="1" xfId="0" applyBorder="1" applyAlignment="1">
      <x:alignment horizontal="general" vertical="bottom"/>
    </x:xf>
    <x:xf numFmtId="0" fontId="9" fillId="4" borderId="1" xfId="0" applyBorder="1" applyAlignment="1">
      <x:alignment horizontal="general" vertical="bottom"/>
    </x:xf>
    <x:xf numFmtId="3" fontId="8" fillId="8" borderId="1" xfId="0" applyBorder="1" applyAlignment="1">
      <x:alignment horizontal="general" vertical="bottom"/>
    </x:xf>
    <x:xf numFmtId="0" fontId="8" fillId="4" borderId="1" xfId="0" applyBorder="1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9" fillId="5" borderId="1" xfId="0" applyBorder="1" applyAlignment="1">
      <x:alignment horizontal="general" vertical="bottom"/>
    </x:xf>
    <x:xf numFmtId="0" fontId="0" fillId="5" borderId="1" xfId="0" applyBorder="1" applyAlignment="1">
      <x:alignment horizontal="general" vertical="bottom"/>
    </x:xf>
    <x:xf numFmtId="165" fontId="8" fillId="4" borderId="1" xfId="0" applyBorder="1" applyAlignment="1">
      <x:alignment horizontal="general" vertical="bottom"/>
    </x:xf>
    <x:xf numFmtId="3" fontId="8" fillId="9" borderId="1" xfId="0" applyBorder="1" applyAlignment="1">
      <x:alignment horizontal="general" vertical="bottom"/>
    </x:xf>
    <x:xf numFmtId="0" fontId="8" fillId="2" borderId="3" xfId="0" applyBorder="1" applyAlignment="1">
      <x:alignment horizontal="general" vertical="bottom"/>
    </x:xf>
    <x:xf numFmtId="0" fontId="0" fillId="7" borderId="3" xfId="0" applyBorder="1" applyAlignment="1">
      <x:alignment horizontal="general" vertical="bottom"/>
    </x:xf>
    <x:xf numFmtId="0" fontId="0" fillId="2" borderId="3" xfId="0" applyBorder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D24"/>
  <x:sheetViews>
    <x:sheetView showGridLines="0" topLeftCell="A1" zoomScaleNormal="100" zoomScaleSheetLayoutView="100" workbookViewId="0">
      <x:selection activeCell="A1" activeCellId="0" sqref="A1:A1"/>
    </x:sheetView>
  </x:sheetViews>
  <x:sheetFormatPr defaultColWidth="9.00390625" defaultRowHeight="16.39999999999999857891"/>
  <x:cols>
    <x:col min="2" max="2" width="32" customWidth="1"/>
    <x:col min="3" max="3" width="52" customWidth="1"/>
    <x:col min="4" max="4" width="80" customWidth="1"/>
  </x:cols>
  <x:sheetData>
    <x:row r="2" spans="2:2" ht="20.30000000000000071054">
      <x:c r="B2" s="1" t="s">
        <x:v>228</x:v>
      </x:c>
    </x:row>
    <x:row r="3" spans="2:2">
      <x:c r="B3" s="2" t="s">
        <x:v>225</x:v>
      </x:c>
    </x:row>
    <x:row r="5" spans="2:2">
      <x:c r="B5" s="3" t="s">
        <x:v>58</x:v>
      </x:c>
    </x:row>
    <x:row r="6" spans="2:2">
      <x:c r="B6" s="4" t="s">
        <x:v>224</x:v>
      </x:c>
    </x:row>
    <x:row r="7" spans="2:2">
      <x:c r="B7" s="4" t="s">
        <x:v>222</x:v>
      </x:c>
    </x:row>
    <x:row r="10" spans="2:2">
      <x:c r="B10" s="3" t="s">
        <x:v>232</x:v>
      </x:c>
    </x:row>
    <x:row r="11" spans="2:4">
      <x:c r="B11" s="5" t="s">
        <x:v>204</x:v>
      </x:c>
      <x:c r="C11" s="5" t="s">
        <x:v>126</x:v>
      </x:c>
      <x:c r="D11" s="5" t="s">
        <x:v>28</x:v>
      </x:c>
    </x:row>
    <x:row r="12" spans="2:4">
      <x:c r="B12" s="6" t="s">
        <x:v>123</x:v>
      </x:c>
      <x:c r="C12" s="7" t="s">
        <x:v>130</x:v>
      </x:c>
      <x:c r="D12" s="8" t="s">
        <x:v>210</x:v>
      </x:c>
    </x:row>
    <x:row r="13" spans="2:4">
      <x:c r="B13" s="6" t="s">
        <x:v>133</x:v>
      </x:c>
      <x:c r="C13" s="9" t="s">
        <x:v>130</x:v>
      </x:c>
      <x:c r="D13" s="8" t="s">
        <x:v>2</x:v>
      </x:c>
    </x:row>
    <x:row r="14" spans="2:4">
      <x:c r="B14" s="6" t="s">
        <x:v>132</x:v>
      </x:c>
      <x:c r="C14" s="10" t="s">
        <x:v>130</x:v>
      </x:c>
      <x:c r="D14" s="8" t="s">
        <x:v>4</x:v>
      </x:c>
    </x:row>
    <x:row r="15" spans="2:4">
      <x:c r="B15" s="6" t="s">
        <x:v>138</x:v>
      </x:c>
      <x:c r="C15" s="11" t="s">
        <x:v>130</x:v>
      </x:c>
      <x:c r="D15" s="8" t="s">
        <x:v>191</x:v>
      </x:c>
    </x:row>
    <x:row r="18" spans="2:2">
      <x:c r="B18" s="3" t="s">
        <x:v>52</x:v>
      </x:c>
    </x:row>
    <x:row r="19" spans="2:4">
      <x:c r="B19" s="12" t="s">
        <x:v>22</x:v>
      </x:c>
      <x:c r="C19" s="12" t="s">
        <x:v>91</x:v>
      </x:c>
      <x:c r="D19" s="12" t="s">
        <x:v>162</x:v>
      </x:c>
    </x:row>
    <x:row r="20" spans="2:4">
      <x:c r="B20" s="6" t="s">
        <x:v>141</x:v>
      </x:c>
      <x:c r="C20" s="8" t="s">
        <x:v>47</x:v>
      </x:c>
      <x:c r="D20" s="8" t="s">
        <x:v>221</x:v>
      </x:c>
    </x:row>
    <x:row r="21" spans="2:4">
      <x:c r="B21" s="6" t="s">
        <x:v>163</x:v>
      </x:c>
      <x:c r="C21" s="8" t="s">
        <x:v>54</x:v>
      </x:c>
      <x:c r="D21" s="8" t="s">
        <x:v>59</x:v>
      </x:c>
    </x:row>
    <x:row r="22" spans="2:4">
      <x:c r="B22" s="6" t="s">
        <x:v>157</x:v>
      </x:c>
      <x:c r="C22" s="8" t="s">
        <x:v>205</x:v>
      </x:c>
      <x:c r="D22" s="8" t="s">
        <x:v>223</x:v>
      </x:c>
    </x:row>
    <x:row r="23" spans="2:4">
      <x:c r="B23" s="6" t="s">
        <x:v>160</x:v>
      </x:c>
      <x:c r="C23" s="8" t="s">
        <x:v>218</x:v>
      </x:c>
      <x:c r="D23" s="8" t="s">
        <x:v>60</x:v>
      </x:c>
    </x:row>
    <x:row r="24" spans="2:4">
      <x:c r="B24" s="6" t="s">
        <x:v>164</x:v>
      </x:c>
      <x:c r="C24" s="8" t="s">
        <x:v>212</x:v>
      </x:c>
      <x:c r="D24" s="8" t="s">
        <x:v>226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E42"/>
  <x:sheetViews>
    <x:sheetView showGridLines="0" topLeftCell="A1" zoomScaleNormal="100" zoomScaleSheetLayoutView="100" workbookViewId="0">
      <x:selection activeCell="A1" activeCellId="0" sqref="A1:A1"/>
    </x:sheetView>
  </x:sheetViews>
  <x:sheetFormatPr defaultColWidth="9.00390625" defaultRowHeight="16.39999999999999857891"/>
  <x:cols>
    <x:col min="2" max="4" width="25" customWidth="1"/>
    <x:col min="5" max="5" width="40" customWidth="1"/>
  </x:cols>
  <x:sheetData>
    <x:row r="2" spans="2:2" ht="20.30000000000000071054">
      <x:c r="B2" s="1" t="s">
        <x:v>201</x:v>
      </x:c>
    </x:row>
    <x:row r="4" spans="2:2">
      <x:c r="B4" s="3" t="s">
        <x:v>51</x:v>
      </x:c>
    </x:row>
    <x:row r="5" spans="2:5">
      <x:c r="B5" s="5" t="s">
        <x:v>24</x:v>
      </x:c>
      <x:c r="C5" s="5" t="s">
        <x:v>155</x:v>
      </x:c>
      <x:c r="D5" s="5" t="s">
        <x:v>156</x:v>
      </x:c>
      <x:c r="E5" s="5" t="s">
        <x:v>143</x:v>
      </x:c>
    </x:row>
    <x:row r="6" spans="2:5">
      <x:c r="B6" s="6" t="s">
        <x:v>158</x:v>
      </x:c>
      <x:c r="C6" s="13">
        <x:v>2266000</x:v>
      </x:c>
      <x:c r="D6" s="13">
        <x:v>2344500</x:v>
      </x:c>
      <x:c r="E6" s="8" t="s">
        <x:v>230</x:v>
      </x:c>
    </x:row>
    <x:row r="7" spans="2:5">
      <x:c r="B7" s="6" t="s">
        <x:v>216</x:v>
      </x:c>
      <x:c r="C7" s="13">
        <x:v>2066000</x:v>
      </x:c>
      <x:c r="D7" s="13">
        <x:v>2144500</x:v>
      </x:c>
      <x:c r="E7" s="8" t="s">
        <x:v>230</x:v>
      </x:c>
    </x:row>
    <x:row r="8" spans="2:5">
      <x:c r="B8" s="6" t="s">
        <x:v>197</x:v>
      </x:c>
      <x:c r="C8" s="13">
        <x:v>150000</x:v>
      </x:c>
      <x:c r="D8" s="13">
        <x:v>160000</x:v>
      </x:c>
      <x:c r="E8" s="8" t="s">
        <x:v>227</x:v>
      </x:c>
    </x:row>
    <x:row r="9" spans="2:5">
      <x:c r="B9" s="6" t="s">
        <x:v>146</x:v>
      </x:c>
      <x:c r="C9" s="13">
        <x:v>83333</x:v>
      </x:c>
      <x:c r="D9" s="13">
        <x:v>83333</x:v>
      </x:c>
      <x:c r="E9" s="8" t="s">
        <x:v>207</x:v>
      </x:c>
    </x:row>
    <x:row r="10" spans="2:5">
      <x:c r="B10" s="6" t="s">
        <x:v>145</x:v>
      </x:c>
      <x:c r="C10" s="13">
        <x:v>154167</x:v>
      </x:c>
      <x:c r="D10" s="13">
        <x:v>178708</x:v>
      </x:c>
      <x:c r="E10" s="8" t="s">
        <x:v>209</x:v>
      </x:c>
    </x:row>
    <x:row r="11" spans="2:5">
      <x:c r="B11" s="6" t="s">
        <x:v>154</x:v>
      </x:c>
      <x:c r="C11" s="13">
        <x:v>103300</x:v>
      </x:c>
      <x:c r="D11" s="13">
        <x:v>107220</x:v>
      </x:c>
      <x:c r="E11" s="8" t="s">
        <x:v>215</x:v>
      </x:c>
    </x:row>
    <x:row r="12" spans="2:5">
      <x:c r="B12" s="6" t="s">
        <x:v>135</x:v>
      </x:c>
      <x:c r="C12" s="13">
        <x:v>113300</x:v>
      </x:c>
      <x:c r="D12" s="13">
        <x:v>117220</x:v>
      </x:c>
      <x:c r="E12" s="8" t="s">
        <x:v>219</x:v>
      </x:c>
    </x:row>
    <x:row r="13" spans="2:5">
      <x:c r="B13" s="6" t="s">
        <x:v>177</x:v>
      </x:c>
      <x:c r="C13" s="13">
        <x:v>50000</x:v>
      </x:c>
      <x:c r="D13" s="13">
        <x:v>70000</x:v>
      </x:c>
      <x:c r="E13" s="8" t="s">
        <x:v>229</x:v>
      </x:c>
    </x:row>
    <x:row r="14" spans="2:5">
      <x:c r="B14" s="6" t="s">
        <x:v>136</x:v>
      </x:c>
      <x:c r="C14" s="13">
        <x:v>0</x:v>
      </x:c>
      <x:c r="D14" s="13">
        <x:v>50000</x:v>
      </x:c>
      <x:c r="E14" s="8" t="s">
        <x:v>49</x:v>
      </x:c>
    </x:row>
    <x:row r="17" spans="2:2">
      <x:c r="B17" s="3" t="s">
        <x:v>181</x:v>
      </x:c>
    </x:row>
    <x:row r="18" spans="2:5">
      <x:c r="B18" s="12" t="s">
        <x:v>120</x:v>
      </x:c>
      <x:c r="C18" s="12" t="s">
        <x:v>53</x:v>
      </x:c>
      <x:c r="D18" s="12" t="s">
        <x:v>50</x:v>
      </x:c>
      <x:c r="E18" s="12" t="s">
        <x:v>65</x:v>
      </x:c>
    </x:row>
    <x:row r="19" spans="2:5">
      <x:c r="B19" s="8" t="s">
        <x:v>137</x:v>
      </x:c>
      <x:c r="C19" s="13">
        <x:v>40000</x:v>
      </x:c>
      <x:c r="D19" s="13">
        <x:v>41000</x:v>
      </x:c>
      <x:c r="E19" s="14"/>
    </x:row>
    <x:row r="20" spans="2:5">
      <x:c r="B20" s="8" t="s">
        <x:v>134</x:v>
      </x:c>
      <x:c r="C20" s="13">
        <x:v>80000</x:v>
      </x:c>
      <x:c r="D20" s="13">
        <x:v>82000</x:v>
      </x:c>
      <x:c r="E20" s="14"/>
    </x:row>
    <x:row r="21" spans="2:5">
      <x:c r="B21" s="8" t="s">
        <x:v>153</x:v>
      </x:c>
      <x:c r="C21" s="13">
        <x:v>120000</x:v>
      </x:c>
      <x:c r="D21" s="13">
        <x:v>123000</x:v>
      </x:c>
      <x:c r="E21" s="14"/>
    </x:row>
    <x:row r="22" spans="2:5">
      <x:c r="B22" s="8" t="s">
        <x:v>147</x:v>
      </x:c>
      <x:c r="C22" s="13">
        <x:v>160000</x:v>
      </x:c>
      <x:c r="D22" s="13">
        <x:v>164000</x:v>
      </x:c>
      <x:c r="E22" s="14"/>
    </x:row>
    <x:row r="23" spans="2:5">
      <x:c r="B23" s="8" t="s">
        <x:v>151</x:v>
      </x:c>
      <x:c r="C23" s="13">
        <x:v>200000</x:v>
      </x:c>
      <x:c r="D23" s="13">
        <x:v>205000</x:v>
      </x:c>
      <x:c r="E23" s="14"/>
    </x:row>
    <x:row r="24" spans="2:5">
      <x:c r="B24" s="8" t="s">
        <x:v>144</x:v>
      </x:c>
      <x:c r="C24" s="13">
        <x:v>240000</x:v>
      </x:c>
      <x:c r="D24" s="13">
        <x:v>246000</x:v>
      </x:c>
      <x:c r="E24" s="14"/>
    </x:row>
    <x:row r="25" spans="2:5">
      <x:c r="B25" s="8" t="s">
        <x:v>152</x:v>
      </x:c>
      <x:c r="C25" s="13">
        <x:v>280000</x:v>
      </x:c>
      <x:c r="D25" s="13">
        <x:v>287000</x:v>
      </x:c>
      <x:c r="E25" s="14"/>
    </x:row>
    <x:row r="26" spans="2:5">
      <x:c r="B26" s="8" t="s">
        <x:v>149</x:v>
      </x:c>
      <x:c r="C26" s="13">
        <x:v>320000</x:v>
      </x:c>
      <x:c r="D26" s="13">
        <x:v>328000</x:v>
      </x:c>
      <x:c r="E26" s="14"/>
    </x:row>
    <x:row r="27" spans="2:5">
      <x:c r="B27" s="8" t="s">
        <x:v>148</x:v>
      </x:c>
      <x:c r="C27" s="13">
        <x:v>360000</x:v>
      </x:c>
      <x:c r="D27" s="13">
        <x:v>369000</x:v>
      </x:c>
      <x:c r="E27" s="14"/>
    </x:row>
    <x:row r="28" spans="2:5">
      <x:c r="B28" s="8" t="s">
        <x:v>189</x:v>
      </x:c>
      <x:c r="C28" s="13">
        <x:v>400000</x:v>
      </x:c>
      <x:c r="D28" s="13">
        <x:v>410000</x:v>
      </x:c>
      <x:c r="E28" s="14"/>
    </x:row>
    <x:row r="29" spans="2:5">
      <x:c r="B29" s="8" t="s">
        <x:v>176</x:v>
      </x:c>
      <x:c r="C29" s="13">
        <x:v>440000</x:v>
      </x:c>
      <x:c r="D29" s="13">
        <x:v>451000</x:v>
      </x:c>
      <x:c r="E29" s="14"/>
    </x:row>
    <x:row r="30" spans="2:5">
      <x:c r="B30" s="8" t="s">
        <x:v>166</x:v>
      </x:c>
      <x:c r="C30" s="13">
        <x:v>480000</x:v>
      </x:c>
      <x:c r="D30" s="13">
        <x:v>492000</x:v>
      </x:c>
      <x:c r="E30" s="14"/>
    </x:row>
    <x:row r="31" spans="2:5">
      <x:c r="B31" s="8" t="s">
        <x:v>190</x:v>
      </x:c>
      <x:c r="C31" s="13">
        <x:v>520000</x:v>
      </x:c>
      <x:c r="D31" s="13">
        <x:v>533000</x:v>
      </x:c>
      <x:c r="E31" s="14"/>
    </x:row>
    <x:row r="32" spans="2:5">
      <x:c r="B32" s="8" t="s">
        <x:v>172</x:v>
      </x:c>
      <x:c r="C32" s="13">
        <x:v>560000</x:v>
      </x:c>
      <x:c r="D32" s="13">
        <x:v>574000</x:v>
      </x:c>
      <x:c r="E32" s="14"/>
    </x:row>
    <x:row r="33" spans="2:5">
      <x:c r="B33" s="8" t="s">
        <x:v>159</x:v>
      </x:c>
      <x:c r="C33" s="13">
        <x:v>600000</x:v>
      </x:c>
      <x:c r="D33" s="13">
        <x:v>615000</x:v>
      </x:c>
      <x:c r="E33" s="14"/>
    </x:row>
    <x:row r="34" spans="2:5">
      <x:c r="B34" s="8" t="s">
        <x:v>178</x:v>
      </x:c>
      <x:c r="C34" s="13">
        <x:v>640000</x:v>
      </x:c>
      <x:c r="D34" s="13">
        <x:v>656000</x:v>
      </x:c>
      <x:c r="E34" s="14"/>
    </x:row>
    <x:row r="35" spans="2:5">
      <x:c r="B35" s="8" t="s">
        <x:v>167</x:v>
      </x:c>
      <x:c r="C35" s="13">
        <x:v>680000</x:v>
      </x:c>
      <x:c r="D35" s="13">
        <x:v>697000</x:v>
      </x:c>
      <x:c r="E35" s="14"/>
    </x:row>
    <x:row r="36" spans="2:5">
      <x:c r="B36" s="8" t="s">
        <x:v>174</x:v>
      </x:c>
      <x:c r="C36" s="13">
        <x:v>720000</x:v>
      </x:c>
      <x:c r="D36" s="13">
        <x:v>738000</x:v>
      </x:c>
      <x:c r="E36" s="14"/>
    </x:row>
    <x:row r="37" spans="2:5">
      <x:c r="B37" s="8" t="s">
        <x:v>188</x:v>
      </x:c>
      <x:c r="C37" s="13">
        <x:v>760000</x:v>
      </x:c>
      <x:c r="D37" s="13">
        <x:v>779000</x:v>
      </x:c>
      <x:c r="E37" s="14"/>
    </x:row>
    <x:row r="38" spans="2:5">
      <x:c r="B38" s="8" t="s">
        <x:v>179</x:v>
      </x:c>
      <x:c r="C38" s="13">
        <x:v>800000</x:v>
      </x:c>
      <x:c r="D38" s="13">
        <x:v>820000</x:v>
      </x:c>
      <x:c r="E38" s="14"/>
    </x:row>
    <x:row r="39" spans="2:5">
      <x:c r="B39" s="8" t="s">
        <x:v>180</x:v>
      </x:c>
      <x:c r="C39" s="13">
        <x:v>840000</x:v>
      </x:c>
      <x:c r="D39" s="13">
        <x:v>861000</x:v>
      </x:c>
      <x:c r="E39" s="14"/>
    </x:row>
    <x:row r="40" spans="2:5">
      <x:c r="B40" s="8" t="s">
        <x:v>170</x:v>
      </x:c>
      <x:c r="C40" s="13">
        <x:v>880000</x:v>
      </x:c>
      <x:c r="D40" s="13">
        <x:v>902000</x:v>
      </x:c>
      <x:c r="E40" s="14"/>
    </x:row>
    <x:row r="41" spans="2:5">
      <x:c r="B41" s="8" t="s">
        <x:v>168</x:v>
      </x:c>
      <x:c r="C41" s="13">
        <x:v>920000</x:v>
      </x:c>
      <x:c r="D41" s="13">
        <x:v>943000</x:v>
      </x:c>
      <x:c r="E41" s="14"/>
    </x:row>
    <x:row r="42" spans="2:5">
      <x:c r="B42" s="8" t="s">
        <x:v>173</x:v>
      </x:c>
      <x:c r="C42" s="13">
        <x:v>920000</x:v>
      </x:c>
      <x:c r="D42" s="13">
        <x:v>984000</x:v>
      </x:c>
      <x:c r="E42" s="14" t="s">
        <x:v>142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H58"/>
  <x:sheetViews>
    <x:sheetView showGridLines="0" topLeftCell="A1" zoomScaleNormal="100" zoomScaleSheetLayoutView="100" workbookViewId="0">
      <x:selection activeCell="A1" activeCellId="0" sqref="A1:A1"/>
    </x:sheetView>
  </x:sheetViews>
  <x:sheetFormatPr defaultColWidth="9.00390625" defaultRowHeight="16.39999999999999857891"/>
  <x:cols>
    <x:col min="2" max="2" width="15" customWidth="1"/>
    <x:col min="3" max="8" width="18" customWidth="1"/>
  </x:cols>
  <x:sheetData>
    <x:row r="2" spans="2:2" ht="20.30000000000000071054">
      <x:c r="B2" s="1" t="s">
        <x:v>206</x:v>
      </x:c>
    </x:row>
    <x:row r="3" spans="2:2">
      <x:c r="B3" s="2" t="s">
        <x:v>56</x:v>
      </x:c>
    </x:row>
    <x:row r="5" spans="2:2">
      <x:c r="B5" s="3" t="s">
        <x:v>235</x:v>
      </x:c>
    </x:row>
    <x:row r="6" spans="2:8">
      <x:c r="B6" s="15" t="s">
        <x:v>104</x:v>
      </x:c>
      <x:c r="C6" s="15" t="s">
        <x:v>95</x:v>
      </x:c>
      <x:c r="D6" s="15" t="s">
        <x:v>88</x:v>
      </x:c>
      <x:c r="E6" s="15" t="s">
        <x:v>140</x:v>
      </x:c>
      <x:c r="F6" s="15" t="s">
        <x:v>99</x:v>
      </x:c>
      <x:c r="G6" s="15" t="s">
        <x:v>77</x:v>
      </x:c>
      <x:c r="H6" s="15" t="s">
        <x:v>150</x:v>
      </x:c>
    </x:row>
    <x:row r="7" spans="2:8">
      <x:c r="B7" s="6" t="s">
        <x:v>66</x:v>
      </x:c>
      <x:c r="C7" s="13">
        <x:v>107820</x:v>
      </x:c>
      <x:c r="D7" s="13">
        <x:v>99782</x:v>
      </x:c>
      <x:c r="E7" s="13">
        <x:v>95828</x:v>
      </x:c>
      <x:c r="F7" s="16">
        <x:v>13477.5</x:v>
      </x:c>
      <x:c r="G7" s="16">
        <x:v>12472.700000000001</x:v>
      </x:c>
      <x:c r="H7" s="16">
        <x:v>11978.5</x:v>
      </x:c>
    </x:row>
    <x:row r="8" spans="2:8">
      <x:c r="B8" s="6" t="s">
        <x:v>90</x:v>
      </x:c>
      <x:c r="C8" s="13">
        <x:v>109351</x:v>
      </x:c>
      <x:c r="D8" s="13">
        <x:v>101313</x:v>
      </x:c>
      <x:c r="E8" s="13">
        <x:v>97359</x:v>
      </x:c>
      <x:c r="F8" s="16">
        <x:v>13668.9</x:v>
      </x:c>
      <x:c r="G8" s="16">
        <x:v>12664.1</x:v>
      </x:c>
      <x:c r="H8" s="16">
        <x:v>12169.9</x:v>
      </x:c>
    </x:row>
    <x:row r="9" spans="2:8">
      <x:c r="B9" s="6" t="s">
        <x:v>83</x:v>
      </x:c>
      <x:c r="C9" s="13">
        <x:v>110882</x:v>
      </x:c>
      <x:c r="D9" s="13">
        <x:v>102844</x:v>
      </x:c>
      <x:c r="E9" s="13">
        <x:v>98890</x:v>
      </x:c>
      <x:c r="F9" s="16">
        <x:v>13860.299999999999</x:v>
      </x:c>
      <x:c r="G9" s="16">
        <x:v>12855.5</x:v>
      </x:c>
      <x:c r="H9" s="16">
        <x:v>12361.200000000001</x:v>
      </x:c>
    </x:row>
    <x:row r="10" spans="2:8">
      <x:c r="B10" s="6" t="s">
        <x:v>73</x:v>
      </x:c>
      <x:c r="C10" s="13">
        <x:v>112414</x:v>
      </x:c>
      <x:c r="D10" s="13">
        <x:v>104375</x:v>
      </x:c>
      <x:c r="E10" s="13">
        <x:v>100421</x:v>
      </x:c>
      <x:c r="F10" s="16">
        <x:v>14051.700000000001</x:v>
      </x:c>
      <x:c r="G10" s="16">
        <x:v>13046.9</x:v>
      </x:c>
      <x:c r="H10" s="16">
        <x:v>12552.6</x:v>
      </x:c>
    </x:row>
    <x:row r="11" spans="2:8">
      <x:c r="B11" s="6" t="s">
        <x:v>70</x:v>
      </x:c>
      <x:c r="C11" s="13">
        <x:v>113945</x:v>
      </x:c>
      <x:c r="D11" s="13">
        <x:v>105906</x:v>
      </x:c>
      <x:c r="E11" s="13">
        <x:v>101952</x:v>
      </x:c>
      <x:c r="F11" s="16">
        <x:v>14243.1</x:v>
      </x:c>
      <x:c r="G11" s="16">
        <x:v>13238.299999999999</x:v>
      </x:c>
      <x:c r="H11" s="16">
        <x:v>12744</x:v>
      </x:c>
    </x:row>
    <x:row r="12" spans="2:8">
      <x:c r="B12" s="6" t="s">
        <x:v>85</x:v>
      </x:c>
      <x:c r="C12" s="13">
        <x:v>115475</x:v>
      </x:c>
      <x:c r="D12" s="13">
        <x:v>107438</x:v>
      </x:c>
      <x:c r="E12" s="13">
        <x:v>103483</x:v>
      </x:c>
      <x:c r="F12" s="16">
        <x:v>14434.4</x:v>
      </x:c>
      <x:c r="G12" s="16">
        <x:v>13429.700000000001</x:v>
      </x:c>
      <x:c r="H12" s="16">
        <x:v>12935.4</x:v>
      </x:c>
    </x:row>
    <x:row r="13" spans="2:8">
      <x:c r="B13" s="6" t="s">
        <x:v>81</x:v>
      </x:c>
      <x:c r="C13" s="13">
        <x:v>117006</x:v>
      </x:c>
      <x:c r="D13" s="13">
        <x:v>108969</x:v>
      </x:c>
      <x:c r="E13" s="13">
        <x:v>105014</x:v>
      </x:c>
      <x:c r="F13" s="16">
        <x:v>14625.799999999999</x:v>
      </x:c>
      <x:c r="G13" s="16">
        <x:v>13621.1</x:v>
      </x:c>
      <x:c r="H13" s="16">
        <x:v>13126.799999999999</x:v>
      </x:c>
    </x:row>
    <x:row r="14" spans="2:8">
      <x:c r="B14" s="6" t="s">
        <x:v>100</x:v>
      </x:c>
      <x:c r="C14" s="13">
        <x:v>118538</x:v>
      </x:c>
      <x:c r="D14" s="13">
        <x:v>110499</x:v>
      </x:c>
      <x:c r="E14" s="13">
        <x:v>106546</x:v>
      </x:c>
      <x:c r="F14" s="16">
        <x:v>14817.200000000001</x:v>
      </x:c>
      <x:c r="G14" s="16">
        <x:v>13812.4</x:v>
      </x:c>
      <x:c r="H14" s="16">
        <x:v>13318.200000000001</x:v>
      </x:c>
    </x:row>
    <x:row r="15" spans="2:8">
      <x:c r="B15" s="6" t="s">
        <x:v>78</x:v>
      </x:c>
      <x:c r="C15" s="13">
        <x:v>120069</x:v>
      </x:c>
      <x:c r="D15" s="13">
        <x:v>112030</x:v>
      </x:c>
      <x:c r="E15" s="13">
        <x:v>108077</x:v>
      </x:c>
      <x:c r="F15" s="16">
        <x:v>15008.6</x:v>
      </x:c>
      <x:c r="G15" s="16">
        <x:v>14003.799999999999</x:v>
      </x:c>
      <x:c r="H15" s="16">
        <x:v>13509.6</x:v>
      </x:c>
    </x:row>
    <x:row r="16" spans="2:8">
      <x:c r="B16" s="6" t="s">
        <x:v>74</x:v>
      </x:c>
      <x:c r="C16" s="13">
        <x:v>121600</x:v>
      </x:c>
      <x:c r="D16" s="13">
        <x:v>113562</x:v>
      </x:c>
      <x:c r="E16" s="13">
        <x:v>109608</x:v>
      </x:c>
      <x:c r="F16" s="16">
        <x:v>15200</x:v>
      </x:c>
      <x:c r="G16" s="16">
        <x:v>14195.200000000001</x:v>
      </x:c>
      <x:c r="H16" s="16">
        <x:v>13701</x:v>
      </x:c>
    </x:row>
    <x:row r="17" spans="2:8">
      <x:c r="B17" s="6" t="s">
        <x:v>98</x:v>
      </x:c>
      <x:c r="C17" s="13">
        <x:v>123131</x:v>
      </x:c>
      <x:c r="D17" s="13">
        <x:v>115093</x:v>
      </x:c>
      <x:c r="E17" s="13">
        <x:v>111138</x:v>
      </x:c>
      <x:c r="F17" s="16">
        <x:v>15391.4</x:v>
      </x:c>
      <x:c r="G17" s="16">
        <x:v>14386.6</x:v>
      </x:c>
      <x:c r="H17" s="16">
        <x:v>13892.299999999999</x:v>
      </x:c>
    </x:row>
    <x:row r="18" spans="2:8">
      <x:c r="B18" s="6" t="s">
        <x:v>71</x:v>
      </x:c>
      <x:c r="C18" s="13">
        <x:v>124662</x:v>
      </x:c>
      <x:c r="D18" s="13">
        <x:v>116624</x:v>
      </x:c>
      <x:c r="E18" s="13">
        <x:v>112670</x:v>
      </x:c>
      <x:c r="F18" s="16">
        <x:v>15582.799999999999</x:v>
      </x:c>
      <x:c r="G18" s="16">
        <x:v>14578</x:v>
      </x:c>
      <x:c r="H18" s="16">
        <x:v>14083.700000000001</x:v>
      </x:c>
    </x:row>
    <x:row r="19" spans="2:8">
      <x:c r="B19" s="6" t="s">
        <x:v>86</x:v>
      </x:c>
      <x:c r="C19" s="13">
        <x:v>126194</x:v>
      </x:c>
      <x:c r="D19" s="13">
        <x:v>118155</x:v>
      </x:c>
      <x:c r="E19" s="13">
        <x:v>114201</x:v>
      </x:c>
      <x:c r="F19" s="16">
        <x:v>15774.200000000001</x:v>
      </x:c>
      <x:c r="G19" s="16">
        <x:v>14769.4</x:v>
      </x:c>
      <x:c r="H19" s="16">
        <x:v>14275.1</x:v>
      </x:c>
    </x:row>
    <x:row r="20" spans="2:8">
      <x:c r="B20" s="6" t="s">
        <x:v>82</x:v>
      </x:c>
      <x:c r="C20" s="13">
        <x:v>127725</x:v>
      </x:c>
      <x:c r="D20" s="13">
        <x:v>119686</x:v>
      </x:c>
      <x:c r="E20" s="13">
        <x:v>115732</x:v>
      </x:c>
      <x:c r="F20" s="16">
        <x:v>15965.6</x:v>
      </x:c>
      <x:c r="G20" s="16">
        <x:v>14960.799999999999</x:v>
      </x:c>
      <x:c r="H20" s="16">
        <x:v>14466.5</x:v>
      </x:c>
    </x:row>
    <x:row r="21" spans="2:8">
      <x:c r="B21" s="6" t="s">
        <x:v>72</x:v>
      </x:c>
      <x:c r="C21" s="13">
        <x:v>129255</x:v>
      </x:c>
      <x:c r="D21" s="13">
        <x:v>121218</x:v>
      </x:c>
      <x:c r="E21" s="13">
        <x:v>117263</x:v>
      </x:c>
      <x:c r="F21" s="16">
        <x:v>16156.9</x:v>
      </x:c>
      <x:c r="G21" s="16">
        <x:v>15152.200000000001</x:v>
      </x:c>
      <x:c r="H21" s="16">
        <x:v>14657.9</x:v>
      </x:c>
    </x:row>
    <x:row r="22" spans="2:8">
      <x:c r="B22" s="6" t="s">
        <x:v>87</x:v>
      </x:c>
      <x:c r="C22" s="13">
        <x:v>130786</x:v>
      </x:c>
      <x:c r="D22" s="13">
        <x:v>122748</x:v>
      </x:c>
      <x:c r="E22" s="13">
        <x:v>118794</x:v>
      </x:c>
      <x:c r="F22" s="16">
        <x:v>16348.299999999999</x:v>
      </x:c>
      <x:c r="G22" s="16">
        <x:v>15343.5</x:v>
      </x:c>
      <x:c r="H22" s="16">
        <x:v>14849.299999999999</x:v>
      </x:c>
    </x:row>
    <x:row r="23" spans="2:8">
      <x:c r="B23" s="6" t="s">
        <x:v>96</x:v>
      </x:c>
      <x:c r="C23" s="13">
        <x:v>132318</x:v>
      </x:c>
      <x:c r="D23" s="13">
        <x:v>124279</x:v>
      </x:c>
      <x:c r="E23" s="13">
        <x:v>120326</x:v>
      </x:c>
      <x:c r="F23" s="16">
        <x:v>16539.700000000001</x:v>
      </x:c>
      <x:c r="G23" s="16">
        <x:v>15534.9</x:v>
      </x:c>
      <x:c r="H23" s="16">
        <x:v>15040.700000000001</x:v>
      </x:c>
    </x:row>
    <x:row r="24" spans="2:8">
      <x:c r="B24" s="6" t="s">
        <x:v>79</x:v>
      </x:c>
      <x:c r="C24" s="13">
        <x:v>133849</x:v>
      </x:c>
      <x:c r="D24" s="13">
        <x:v>125810</x:v>
      </x:c>
      <x:c r="E24" s="13">
        <x:v>121857</x:v>
      </x:c>
      <x:c r="F24" s="16">
        <x:v>16731.099999999999</x:v>
      </x:c>
      <x:c r="G24" s="16">
        <x:v>15726.299999999999</x:v>
      </x:c>
      <x:c r="H24" s="16">
        <x:v>15232.1</x:v>
      </x:c>
    </x:row>
    <x:row r="25" spans="2:8">
      <x:c r="B25" s="6" t="s">
        <x:v>75</x:v>
      </x:c>
      <x:c r="C25" s="13">
        <x:v>135380</x:v>
      </x:c>
      <x:c r="D25" s="13">
        <x:v>127342</x:v>
      </x:c>
      <x:c r="E25" s="13">
        <x:v>123387</x:v>
      </x:c>
      <x:c r="F25" s="16">
        <x:v>16922.5</x:v>
      </x:c>
      <x:c r="G25" s="16">
        <x:v>15917.700000000001</x:v>
      </x:c>
      <x:c r="H25" s="16">
        <x:v>15423.4</x:v>
      </x:c>
    </x:row>
    <x:row r="26" spans="2:8">
      <x:c r="B26" s="6" t="s">
        <x:v>101</x:v>
      </x:c>
      <x:c r="C26" s="13">
        <x:v>136911</x:v>
      </x:c>
      <x:c r="D26" s="13">
        <x:v>128873</x:v>
      </x:c>
      <x:c r="E26" s="13">
        <x:v>124918</x:v>
      </x:c>
      <x:c r="F26" s="16">
        <x:v>17113.900000000001</x:v>
      </x:c>
      <x:c r="G26" s="16">
        <x:v>16109.1</x:v>
      </x:c>
      <x:c r="H26" s="16">
        <x:v>15614.799999999999</x:v>
      </x:c>
    </x:row>
    <x:row r="27" spans="2:8">
      <x:c r="B27" s="6" t="s">
        <x:v>89</x:v>
      </x:c>
      <x:c r="C27" s="13">
        <x:v>138442</x:v>
      </x:c>
      <x:c r="D27" s="13">
        <x:v>130404</x:v>
      </x:c>
      <x:c r="E27" s="13">
        <x:v>126450</x:v>
      </x:c>
      <x:c r="F27" s="16">
        <x:v>17305.299999999999</x:v>
      </x:c>
      <x:c r="G27" s="16">
        <x:v>16300.5</x:v>
      </x:c>
      <x:c r="H27" s="16">
        <x:v>15806.200000000001</x:v>
      </x:c>
    </x:row>
    <x:row r="28" spans="2:8">
      <x:c r="B28" s="6" t="s">
        <x:v>84</x:v>
      </x:c>
      <x:c r="C28" s="13">
        <x:v>139974</x:v>
      </x:c>
      <x:c r="D28" s="13">
        <x:v>131935</x:v>
      </x:c>
      <x:c r="E28" s="13">
        <x:v>127981</x:v>
      </x:c>
      <x:c r="F28" s="16">
        <x:v>17496.700000000001</x:v>
      </x:c>
      <x:c r="G28" s="16">
        <x:v>16491.900000000001</x:v>
      </x:c>
      <x:c r="H28" s="16">
        <x:v>15997.6</x:v>
      </x:c>
    </x:row>
    <x:row r="29" spans="2:8">
      <x:c r="B29" s="6" t="s">
        <x:v>80</x:v>
      </x:c>
      <x:c r="C29" s="13">
        <x:v>141504</x:v>
      </x:c>
      <x:c r="D29" s="13">
        <x:v>133466</x:v>
      </x:c>
      <x:c r="E29" s="13">
        <x:v>129512</x:v>
      </x:c>
      <x:c r="F29" s="16">
        <x:v>17688</x:v>
      </x:c>
      <x:c r="G29" s="16">
        <x:v>16683.299999999999</x:v>
      </x:c>
      <x:c r="H29" s="16">
        <x:v>16189</x:v>
      </x:c>
    </x:row>
    <x:row r="30" spans="2:8">
      <x:c r="B30" s="6" t="s">
        <x:v>109</x:v>
      </x:c>
      <x:c r="C30" s="13">
        <x:v>143035</x:v>
      </x:c>
      <x:c r="D30" s="13">
        <x:v>134997</x:v>
      </x:c>
      <x:c r="E30" s="13">
        <x:v>131043</x:v>
      </x:c>
      <x:c r="F30" s="16">
        <x:v>17879.400000000001</x:v>
      </x:c>
      <x:c r="G30" s="16">
        <x:v>16874.599999999999</x:v>
      </x:c>
      <x:c r="H30" s="16">
        <x:v>16380.4</x:v>
      </x:c>
    </x:row>
    <x:row r="32" spans="2:2">
      <x:c r="B32" s="3" t="s">
        <x:v>236</x:v>
      </x:c>
    </x:row>
    <x:row r="33" spans="2:8">
      <x:c r="B33" s="17" t="s">
        <x:v>104</x:v>
      </x:c>
      <x:c r="C33" s="17" t="s">
        <x:v>95</x:v>
      </x:c>
      <x:c r="D33" s="17" t="s">
        <x:v>88</x:v>
      </x:c>
      <x:c r="E33" s="17" t="s">
        <x:v>140</x:v>
      </x:c>
      <x:c r="F33" s="17" t="s">
        <x:v>99</x:v>
      </x:c>
      <x:c r="G33" s="17" t="s">
        <x:v>77</x:v>
      </x:c>
      <x:c r="H33" s="17" t="s">
        <x:v>150</x:v>
      </x:c>
    </x:row>
    <x:row r="34" spans="2:8">
      <x:c r="B34" s="6" t="s">
        <x:v>66</x:v>
      </x:c>
      <x:c r="C34" s="13">
        <x:v>114977</x:v>
      </x:c>
      <x:c r="D34" s="13">
        <x:v>105024</x:v>
      </x:c>
      <x:c r="E34" s="13">
        <x:v>100920</x:v>
      </x:c>
      <x:c r="F34" s="16">
        <x:v>14372.1</x:v>
      </x:c>
      <x:c r="G34" s="16">
        <x:v>13128</x:v>
      </x:c>
      <x:c r="H34" s="16">
        <x:v>12615</x:v>
      </x:c>
    </x:row>
    <x:row r="35" spans="2:8">
      <x:c r="B35" s="6" t="s">
        <x:v>90</x:v>
      </x:c>
      <x:c r="C35" s="13">
        <x:v>116546</x:v>
      </x:c>
      <x:c r="D35" s="13">
        <x:v>106594</x:v>
      </x:c>
      <x:c r="E35" s="13">
        <x:v>102490</x:v>
      </x:c>
      <x:c r="F35" s="16">
        <x:v>14568.200000000001</x:v>
      </x:c>
      <x:c r="G35" s="16">
        <x:v>13324.200000000001</x:v>
      </x:c>
      <x:c r="H35" s="16">
        <x:v>12811.200000000001</x:v>
      </x:c>
    </x:row>
    <x:row r="36" spans="2:8">
      <x:c r="B36" s="6" t="s">
        <x:v>83</x:v>
      </x:c>
      <x:c r="C36" s="13">
        <x:v>118115</x:v>
      </x:c>
      <x:c r="D36" s="13">
        <x:v>108163</x:v>
      </x:c>
      <x:c r="E36" s="13">
        <x:v>104059</x:v>
      </x:c>
      <x:c r="F36" s="16">
        <x:v>14764.4</x:v>
      </x:c>
      <x:c r="G36" s="16">
        <x:v>13520.4</x:v>
      </x:c>
      <x:c r="H36" s="16">
        <x:v>13007.4</x:v>
      </x:c>
    </x:row>
    <x:row r="37" spans="2:8">
      <x:c r="B37" s="6" t="s">
        <x:v>73</x:v>
      </x:c>
      <x:c r="C37" s="13">
        <x:v>119685</x:v>
      </x:c>
      <x:c r="D37" s="13">
        <x:v>109733</x:v>
      </x:c>
      <x:c r="E37" s="13">
        <x:v>105628</x:v>
      </x:c>
      <x:c r="F37" s="16">
        <x:v>14960.6</x:v>
      </x:c>
      <x:c r="G37" s="16">
        <x:v>13716.6</x:v>
      </x:c>
      <x:c r="H37" s="16">
        <x:v>13203.5</x:v>
      </x:c>
    </x:row>
    <x:row r="38" spans="2:8">
      <x:c r="B38" s="6" t="s">
        <x:v>70</x:v>
      </x:c>
      <x:c r="C38" s="13">
        <x:v>121254</x:v>
      </x:c>
      <x:c r="D38" s="13">
        <x:v>111302</x:v>
      </x:c>
      <x:c r="E38" s="13">
        <x:v>107198</x:v>
      </x:c>
      <x:c r="F38" s="16">
        <x:v>15156.799999999999</x:v>
      </x:c>
      <x:c r="G38" s="16">
        <x:v>13912.700000000001</x:v>
      </x:c>
      <x:c r="H38" s="16">
        <x:v>13399.700000000001</x:v>
      </x:c>
    </x:row>
    <x:row r="39" spans="2:8">
      <x:c r="B39" s="6" t="s">
        <x:v>85</x:v>
      </x:c>
      <x:c r="C39" s="13">
        <x:v>122823</x:v>
      </x:c>
      <x:c r="D39" s="13">
        <x:v>112871</x:v>
      </x:c>
      <x:c r="E39" s="13">
        <x:v>108767</x:v>
      </x:c>
      <x:c r="F39" s="16">
        <x:v>15352.9</x:v>
      </x:c>
      <x:c r="G39" s="16">
        <x:v>14108.9</x:v>
      </x:c>
      <x:c r="H39" s="16">
        <x:v>13595.9</x:v>
      </x:c>
    </x:row>
    <x:row r="40" spans="2:8">
      <x:c r="B40" s="6" t="s">
        <x:v>81</x:v>
      </x:c>
      <x:c r="C40" s="13">
        <x:v>124393</x:v>
      </x:c>
      <x:c r="D40" s="13">
        <x:v>114441</x:v>
      </x:c>
      <x:c r="E40" s="13">
        <x:v>110337</x:v>
      </x:c>
      <x:c r="F40" s="16">
        <x:v>15549.1</x:v>
      </x:c>
      <x:c r="G40" s="16">
        <x:v>14305.1</x:v>
      </x:c>
      <x:c r="H40" s="16">
        <x:v>13792.1</x:v>
      </x:c>
    </x:row>
    <x:row r="41" spans="2:8">
      <x:c r="B41" s="6" t="s">
        <x:v>100</x:v>
      </x:c>
      <x:c r="C41" s="13">
        <x:v>125962</x:v>
      </x:c>
      <x:c r="D41" s="13">
        <x:v>116010</x:v>
      </x:c>
      <x:c r="E41" s="13">
        <x:v>111906</x:v>
      </x:c>
      <x:c r="F41" s="16">
        <x:v>15745.299999999999</x:v>
      </x:c>
      <x:c r="G41" s="16">
        <x:v>14501.200000000001</x:v>
      </x:c>
      <x:c r="H41" s="16">
        <x:v>13988.200000000001</x:v>
      </x:c>
    </x:row>
    <x:row r="42" spans="2:8">
      <x:c r="B42" s="6" t="s">
        <x:v>78</x:v>
      </x:c>
      <x:c r="C42" s="13">
        <x:v>127531</x:v>
      </x:c>
      <x:c r="D42" s="13">
        <x:v>117579</x:v>
      </x:c>
      <x:c r="E42" s="13">
        <x:v>113475</x:v>
      </x:c>
      <x:c r="F42" s="16">
        <x:v>15941.4</x:v>
      </x:c>
      <x:c r="G42" s="16">
        <x:v>14697.4</x:v>
      </x:c>
      <x:c r="H42" s="16">
        <x:v>14184.4</x:v>
      </x:c>
    </x:row>
    <x:row r="43" spans="2:8">
      <x:c r="B43" s="6" t="s">
        <x:v>74</x:v>
      </x:c>
      <x:c r="C43" s="13">
        <x:v>129101</x:v>
      </x:c>
      <x:c r="D43" s="13">
        <x:v>119149</x:v>
      </x:c>
      <x:c r="E43" s="13">
        <x:v>115045</x:v>
      </x:c>
      <x:c r="F43" s="16">
        <x:v>16137.6</x:v>
      </x:c>
      <x:c r="G43" s="16">
        <x:v>14893.6</x:v>
      </x:c>
      <x:c r="H43" s="16">
        <x:v>14380.6</x:v>
      </x:c>
    </x:row>
    <x:row r="44" spans="2:8">
      <x:c r="B44" s="6" t="s">
        <x:v>98</x:v>
      </x:c>
      <x:c r="C44" s="13">
        <x:v>130670</x:v>
      </x:c>
      <x:c r="D44" s="13">
        <x:v>120718</x:v>
      </x:c>
      <x:c r="E44" s="13">
        <x:v>116614</x:v>
      </x:c>
      <x:c r="F44" s="16">
        <x:v>16333.799999999999</x:v>
      </x:c>
      <x:c r="G44" s="16">
        <x:v>15089.799999999999</x:v>
      </x:c>
      <x:c r="H44" s="16">
        <x:v>14576.799999999999</x:v>
      </x:c>
    </x:row>
    <x:row r="45" spans="2:8">
      <x:c r="B45" s="6" t="s">
        <x:v>71</x:v>
      </x:c>
      <x:c r="C45" s="13">
        <x:v>132240</x:v>
      </x:c>
      <x:c r="D45" s="13">
        <x:v>122287</x:v>
      </x:c>
      <x:c r="E45" s="13">
        <x:v>118183</x:v>
      </x:c>
      <x:c r="F45" s="16">
        <x:v>16530</x:v>
      </x:c>
      <x:c r="G45" s="16">
        <x:v>15285.9</x:v>
      </x:c>
      <x:c r="H45" s="16">
        <x:v>14772.9</x:v>
      </x:c>
    </x:row>
    <x:row r="46" spans="2:8">
      <x:c r="B46" s="6" t="s">
        <x:v>86</x:v>
      </x:c>
      <x:c r="C46" s="13">
        <x:v>133809</x:v>
      </x:c>
      <x:c r="D46" s="13">
        <x:v>123857</x:v>
      </x:c>
      <x:c r="E46" s="13">
        <x:v>119753</x:v>
      </x:c>
      <x:c r="F46" s="16">
        <x:v>16726.099999999999</x:v>
      </x:c>
      <x:c r="G46" s="16">
        <x:v>15482.1</x:v>
      </x:c>
      <x:c r="H46" s="16">
        <x:v>14969.1</x:v>
      </x:c>
    </x:row>
    <x:row r="47" spans="2:8">
      <x:c r="B47" s="6" t="s">
        <x:v>82</x:v>
      </x:c>
      <x:c r="C47" s="13">
        <x:v>135378</x:v>
      </x:c>
      <x:c r="D47" s="13">
        <x:v>125426</x:v>
      </x:c>
      <x:c r="E47" s="13">
        <x:v>121322</x:v>
      </x:c>
      <x:c r="F47" s="16">
        <x:v>16922.299999999999</x:v>
      </x:c>
      <x:c r="G47" s="16">
        <x:v>15678.299999999999</x:v>
      </x:c>
      <x:c r="H47" s="16">
        <x:v>15165.299999999999</x:v>
      </x:c>
    </x:row>
    <x:row r="48" spans="2:8">
      <x:c r="B48" s="6" t="s">
        <x:v>72</x:v>
      </x:c>
      <x:c r="C48" s="13">
        <x:v>136948</x:v>
      </x:c>
      <x:c r="D48" s="13">
        <x:v>126996</x:v>
      </x:c>
      <x:c r="E48" s="13">
        <x:v>122891</x:v>
      </x:c>
      <x:c r="F48" s="16">
        <x:v>17118.5</x:v>
      </x:c>
      <x:c r="G48" s="16">
        <x:v>15874.5</x:v>
      </x:c>
      <x:c r="H48" s="16">
        <x:v>15361.4</x:v>
      </x:c>
    </x:row>
    <x:row r="49" spans="2:8">
      <x:c r="B49" s="6" t="s">
        <x:v>87</x:v>
      </x:c>
      <x:c r="C49" s="13">
        <x:v>138517</x:v>
      </x:c>
      <x:c r="D49" s="13">
        <x:v>128565</x:v>
      </x:c>
      <x:c r="E49" s="13">
        <x:v>124461</x:v>
      </x:c>
      <x:c r="F49" s="16">
        <x:v>17314.599999999999</x:v>
      </x:c>
      <x:c r="G49" s="16">
        <x:v>16070.6</x:v>
      </x:c>
      <x:c r="H49" s="16">
        <x:v>15557.6</x:v>
      </x:c>
    </x:row>
    <x:row r="50" spans="2:8">
      <x:c r="B50" s="6" t="s">
        <x:v>96</x:v>
      </x:c>
      <x:c r="C50" s="13">
        <x:v>140086</x:v>
      </x:c>
      <x:c r="D50" s="13">
        <x:v>130134</x:v>
      </x:c>
      <x:c r="E50" s="13">
        <x:v>126030</x:v>
      </x:c>
      <x:c r="F50" s="16">
        <x:v>17510.799999999999</x:v>
      </x:c>
      <x:c r="G50" s="16">
        <x:v>16266.799999999999</x:v>
      </x:c>
      <x:c r="H50" s="16">
        <x:v>15753.799999999999</x:v>
      </x:c>
    </x:row>
    <x:row r="51" spans="2:8">
      <x:c r="B51" s="6" t="s">
        <x:v>79</x:v>
      </x:c>
      <x:c r="C51" s="13">
        <x:v>141656</x:v>
      </x:c>
      <x:c r="D51" s="13">
        <x:v>131704</x:v>
      </x:c>
      <x:c r="E51" s="13">
        <x:v>127600</x:v>
      </x:c>
      <x:c r="F51" s="16">
        <x:v>17707</x:v>
      </x:c>
      <x:c r="G51" s="16">
        <x:v>16463</x:v>
      </x:c>
      <x:c r="H51" s="16">
        <x:v>15950</x:v>
      </x:c>
    </x:row>
    <x:row r="52" spans="2:8">
      <x:c r="B52" s="6" t="s">
        <x:v>75</x:v>
      </x:c>
      <x:c r="C52" s="13">
        <x:v>143226</x:v>
      </x:c>
      <x:c r="D52" s="13">
        <x:v>133273</x:v>
      </x:c>
      <x:c r="E52" s="13">
        <x:v>129169</x:v>
      </x:c>
      <x:c r="F52" s="16">
        <x:v>17903.200000000001</x:v>
      </x:c>
      <x:c r="G52" s="16">
        <x:v>16659.099999999999</x:v>
      </x:c>
      <x:c r="H52" s="16">
        <x:v>16146.1</x:v>
      </x:c>
    </x:row>
    <x:row r="53" spans="2:8">
      <x:c r="B53" s="6" t="s">
        <x:v>101</x:v>
      </x:c>
      <x:c r="C53" s="13">
        <x:v>144794</x:v>
      </x:c>
      <x:c r="D53" s="13">
        <x:v>134842</x:v>
      </x:c>
      <x:c r="E53" s="13">
        <x:v>130738</x:v>
      </x:c>
      <x:c r="F53" s="16">
        <x:v>18099.299999999999</x:v>
      </x:c>
      <x:c r="G53" s="16">
        <x:v>16855.299999999999</x:v>
      </x:c>
      <x:c r="H53" s="16">
        <x:v>16342.299999999999</x:v>
      </x:c>
    </x:row>
    <x:row r="54" spans="2:8">
      <x:c r="B54" s="6" t="s">
        <x:v>89</x:v>
      </x:c>
      <x:c r="C54" s="13">
        <x:v>146364</x:v>
      </x:c>
      <x:c r="D54" s="13">
        <x:v>136412</x:v>
      </x:c>
      <x:c r="E54" s="13">
        <x:v>132308</x:v>
      </x:c>
      <x:c r="F54" s="16">
        <x:v>18295.5</x:v>
      </x:c>
      <x:c r="G54" s="16">
        <x:v>17051.5</x:v>
      </x:c>
      <x:c r="H54" s="16">
        <x:v>16538.5</x:v>
      </x:c>
    </x:row>
    <x:row r="55" spans="2:8">
      <x:c r="B55" s="6" t="s">
        <x:v>84</x:v>
      </x:c>
      <x:c r="C55" s="13">
        <x:v>147934</x:v>
      </x:c>
      <x:c r="D55" s="13">
        <x:v>137982</x:v>
      </x:c>
      <x:c r="E55" s="13">
        <x:v>133877</x:v>
      </x:c>
      <x:c r="F55" s="16">
        <x:v>18491.700000000001</x:v>
      </x:c>
      <x:c r="G55" s="16">
        <x:v>17247.700000000001</x:v>
      </x:c>
      <x:c r="H55" s="16">
        <x:v>16734.599999999999</x:v>
      </x:c>
    </x:row>
    <x:row r="56" spans="2:8">
      <x:c r="B56" s="6" t="s">
        <x:v>80</x:v>
      </x:c>
      <x:c r="C56" s="13">
        <x:v>149503</x:v>
      </x:c>
      <x:c r="D56" s="13">
        <x:v>139550</x:v>
      </x:c>
      <x:c r="E56" s="13">
        <x:v>135446</x:v>
      </x:c>
      <x:c r="F56" s="16">
        <x:v>18687.900000000001</x:v>
      </x:c>
      <x:c r="G56" s="16">
        <x:v>17443.799999999999</x:v>
      </x:c>
      <x:c r="H56" s="16">
        <x:v>16930.799999999999</x:v>
      </x:c>
    </x:row>
    <x:row r="57" spans="2:8">
      <x:c r="B57" s="6" t="s">
        <x:v>109</x:v>
      </x:c>
      <x:c r="C57" s="13">
        <x:v>151072</x:v>
      </x:c>
      <x:c r="D57" s="13">
        <x:v>141120</x:v>
      </x:c>
      <x:c r="E57" s="13">
        <x:v>137016</x:v>
      </x:c>
      <x:c r="F57" s="16">
        <x:v>18884</x:v>
      </x:c>
      <x:c r="G57" s="16">
        <x:v>17640</x:v>
      </x:c>
      <x:c r="H57" s="16">
        <x:v>17127</x:v>
      </x:c>
    </x:row>
    <x:row r="58" spans="2:8">
      <x:c r="B58" s="6" t="s">
        <x:v>117</x:v>
      </x:c>
      <x:c r="C58" s="13">
        <x:v>152642</x:v>
      </x:c>
      <x:c r="D58" s="13">
        <x:v>142690</x:v>
      </x:c>
      <x:c r="E58" s="13">
        <x:v>138586</x:v>
      </x:c>
      <x:c r="F58" s="16">
        <x:v>19080.200000000001</x:v>
      </x:c>
      <x:c r="G58" s="16">
        <x:v>17836.200000000001</x:v>
      </x:c>
      <x:c r="H58" s="16">
        <x:v>17323.200000000001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2:Q25"/>
  <x:sheetViews>
    <x:sheetView showGridLines="0" topLeftCell="F1" zoomScaleNormal="100" zoomScaleSheetLayoutView="100" workbookViewId="0">
      <x:selection activeCell="I33" activeCellId="0" sqref="I33:I33"/>
    </x:sheetView>
  </x:sheetViews>
  <x:sheetFormatPr defaultColWidth="9.00390625" defaultRowHeight="16.39999999999999857891"/>
  <x:cols>
    <x:col min="2" max="6" width="15" customWidth="1"/>
    <x:col min="7" max="7" width="12" customWidth="1"/>
    <x:col min="8" max="8" width="15" customWidth="1"/>
    <x:col min="9" max="10" width="18" customWidth="1"/>
    <x:col min="11" max="11" width="20" customWidth="1"/>
    <x:col min="12" max="12" width="18" customWidth="1"/>
    <x:col min="13" max="13" width="22" customWidth="1"/>
    <x:col min="14" max="14" width="15" customWidth="1"/>
    <x:col min="15" max="15" width="22" customWidth="1"/>
    <x:col min="16" max="16" width="25" customWidth="1"/>
    <x:col min="17" max="17" width="30" customWidth="1"/>
  </x:cols>
  <x:sheetData>
    <x:row r="2" spans="2:2" ht="20.30000000000000071054">
      <x:c r="B2" s="1" t="s">
        <x:v>237</x:v>
      </x:c>
    </x:row>
    <x:row r="3" spans="2:2">
      <x:c r="B3" s="2" t="s">
        <x:v>239</x:v>
      </x:c>
    </x:row>
    <x:row r="5" spans="2:2">
      <x:c r="B5" s="3" t="s">
        <x:v>185</x:v>
      </x:c>
    </x:row>
    <x:row r="6" spans="2:2">
      <x:c r="B6" s="4" t="s">
        <x:v>202</x:v>
      </x:c>
    </x:row>
    <x:row r="7" spans="2:2">
      <x:c r="B7" s="4" t="s">
        <x:v>195</x:v>
      </x:c>
    </x:row>
    <x:row r="8" spans="2:2">
      <x:c r="B8" s="4" t="s">
        <x:v>193</x:v>
      </x:c>
    </x:row>
    <x:row r="10" spans="2:17" ht="28.75">
      <x:c r="B10" s="18" t="s">
        <x:v>69</x:v>
      </x:c>
      <x:c r="C10" s="18" t="s">
        <x:v>61</x:v>
      </x:c>
      <x:c r="D10" s="18" t="s">
        <x:v>17</x:v>
      </x:c>
      <x:c r="E10" s="18" t="s">
        <x:v>16</x:v>
      </x:c>
      <x:c r="F10" s="18" t="s">
        <x:v>15</x:v>
      </x:c>
      <x:c r="G10" s="18" t="s">
        <x:v>0</x:v>
      </x:c>
      <x:c r="H10" s="18" t="s">
        <x:v>10</x:v>
      </x:c>
      <x:c r="I10" s="18" t="s">
        <x:v>203</x:v>
      </x:c>
      <x:c r="J10" s="18" t="s">
        <x:v>120</x:v>
      </x:c>
      <x:c r="K10" s="18" t="s">
        <x:v>182</x:v>
      </x:c>
      <x:c r="L10" s="18" t="s">
        <x:v>39</x:v>
      </x:c>
      <x:c r="M10" s="18" t="s">
        <x:v>220</x:v>
      </x:c>
      <x:c r="N10" s="18" t="s">
        <x:v>63</x:v>
      </x:c>
      <x:c r="O10" s="18" t="s">
        <x:v>46</x:v>
      </x:c>
      <x:c r="P10" s="18" t="s">
        <x:v>217</x:v>
      </x:c>
      <x:c r="Q10" s="18" t="s">
        <x:v>62</x:v>
      </x:c>
    </x:row>
    <x:row r="11" spans="2:17">
      <x:c r="B11" s="19" t="s">
        <x:v>11</x:v>
      </x:c>
      <x:c r="C11" s="19" t="s">
        <x:v>9</x:v>
      </x:c>
      <x:c r="D11" s="19" t="s">
        <x:v>14</x:v>
      </x:c>
      <x:c r="E11" s="19" t="s">
        <x:v>19</x:v>
      </x:c>
      <x:c r="F11" s="19" t="s">
        <x:v>97</x:v>
      </x:c>
      <x:c r="G11" s="20" t="s">
        <x:v>18</x:v>
      </x:c>
      <x:c r="H11" s="19" t="s">
        <x:v>5</x:v>
      </x:c>
      <x:c r="I11" s="20" t="s">
        <x:v>8</x:v>
      </x:c>
      <x:c r="J11" s="20" t="s">
        <x:v>75</x:v>
      </x:c>
      <x:c r="K11" s="21" t="e">
        <x:f>INDEX('통상임금 계산마스터'!$C$7:$E$29,MATCH(J11,'통상임금 계산마스터'!$B$7:$B$29,0),MATCH(I11,'통상임금 계산마스터'!$C$6:$E$6,0))</x:f>
        <x:v>#N/A</x:v>
      </x:c>
      <x:c r="L11" s="22">
        <x:v>20</x:v>
      </x:c>
      <x:c r="M11" s="21" t="e">
        <x:f>K11*L11</x:f>
        <x:v>#N/A</x:v>
      </x:c>
      <x:c r="N11" s="20" t="s">
        <x:v>6</x:v>
      </x:c>
      <x:c r="O11" s="23" t="e">
        <x:f>IF(N11="DB",K11*30*(IF(J11="1년 미만",0.93,IF(J11="12년 이상",1.2,IF(J11="18년 이상",1.48,1)))),K11*30*1.1)</x:f>
        <x:v>#N/A</x:v>
      </x:c>
      <x:c r="P11" s="22"/>
      <x:c r="Q11" s="24" t="s">
        <x:v>213</x:v>
      </x:c>
    </x:row>
    <x:row r="12" spans="2:17">
      <x:c r="B12" s="19" t="s">
        <x:v>11</x:v>
      </x:c>
      <x:c r="C12" s="19" t="s">
        <x:v>9</x:v>
      </x:c>
      <x:c r="D12" s="19" t="s">
        <x:v>14</x:v>
      </x:c>
      <x:c r="E12" s="19" t="s">
        <x:v>19</x:v>
      </x:c>
      <x:c r="F12" s="19" t="s">
        <x:v>97</x:v>
      </x:c>
      <x:c r="G12" s="20" t="s">
        <x:v>25</x:v>
      </x:c>
      <x:c r="H12" s="19" t="s">
        <x:v>7</x:v>
      </x:c>
      <x:c r="I12" s="20" t="s">
        <x:v>68</x:v>
      </x:c>
      <x:c r="J12" s="20" t="s">
        <x:v>86</x:v>
      </x:c>
      <x:c r="K12" s="21" t="e">
        <x:f>INDEX('통상임금 계산마스터'!$C$7:$E$29,MATCH(J12,'통상임금 계산마스터'!$B$7:$B$29,0),MATCH(I12,'통상임금 계산마스터'!$C$6:$E$6,0))</x:f>
        <x:v>#N/A</x:v>
      </x:c>
      <x:c r="L12" s="22">
        <x:v>7</x:v>
      </x:c>
      <x:c r="M12" s="21" t="e">
        <x:f>K12*L12</x:f>
        <x:v>#N/A</x:v>
      </x:c>
      <x:c r="N12" s="20" t="s">
        <x:v>6</x:v>
      </x:c>
      <x:c r="O12" s="23" t="e">
        <x:f>IF(N12="DB",K12*30*(IF(J12="1년 미만",0.93,IF(J12="12년 이상",1.2,IF(J12="18년 이상",1.48,1)))),K12*30*1.1)</x:f>
        <x:v>#N/A</x:v>
      </x:c>
      <x:c r="P12" s="22"/>
      <x:c r="Q12" s="24" t="s">
        <x:v>184</x:v>
      </x:c>
    </x:row>
    <x:row r="13" spans="2:17">
      <x:c r="B13" s="19" t="s">
        <x:v>11</x:v>
      </x:c>
      <x:c r="C13" s="19" t="s">
        <x:v>9</x:v>
      </x:c>
      <x:c r="D13" s="19" t="s">
        <x:v>14</x:v>
      </x:c>
      <x:c r="E13" s="19" t="s">
        <x:v>19</x:v>
      </x:c>
      <x:c r="F13" s="19" t="s">
        <x:v>97</x:v>
      </x:c>
      <x:c r="G13" s="20" t="s">
        <x:v>13</x:v>
      </x:c>
      <x:c r="H13" s="19" t="s">
        <x:v>7</x:v>
      </x:c>
      <x:c r="I13" s="20" t="s">
        <x:v>68</x:v>
      </x:c>
      <x:c r="J13" s="20" t="s">
        <x:v>66</x:v>
      </x:c>
      <x:c r="K13" s="21" t="e">
        <x:f>INDEX('통상임금 계산마스터'!$C$7:$E$29,MATCH(J13,'통상임금 계산마스터'!$B$7:$B$29,0),MATCH(I13,'통상임금 계산마스터'!$C$6:$E$6,0))</x:f>
        <x:v>#N/A</x:v>
      </x:c>
      <x:c r="L13" s="22">
        <x:v>10</x:v>
      </x:c>
      <x:c r="M13" s="21" t="e">
        <x:f>K13*L13</x:f>
        <x:v>#N/A</x:v>
      </x:c>
      <x:c r="N13" s="20" t="s">
        <x:v>6</x:v>
      </x:c>
      <x:c r="O13" s="23" t="e">
        <x:f>IF(N13="DB",K13*30*(IF(J13="1년 미만",0.93,IF(J13="12년 이상",1.2,IF(J13="18년 이상",1.48,1)))),K13*30*1.1)</x:f>
        <x:v>#N/A</x:v>
      </x:c>
      <x:c r="P13" s="22"/>
      <x:c r="Q13" s="24" t="s">
        <x:v>214</x:v>
      </x:c>
    </x:row>
    <x:row r="14" spans="2:17">
      <x:c r="B14" s="19" t="s">
        <x:v>11</x:v>
      </x:c>
      <x:c r="C14" s="19" t="s">
        <x:v>9</x:v>
      </x:c>
      <x:c r="D14" s="19" t="s">
        <x:v>14</x:v>
      </x:c>
      <x:c r="E14" s="19" t="s">
        <x:v>26</x:v>
      </x:c>
      <x:c r="F14" s="24" t="s">
        <x:v>12</x:v>
      </x:c>
      <x:c r="G14" s="24" t="s">
        <x:v>76</x:v>
      </x:c>
      <x:c r="H14" s="19" t="s">
        <x:v>5</x:v>
      </x:c>
      <x:c r="I14" s="20" t="s">
        <x:v>68</x:v>
      </x:c>
      <x:c r="J14" s="20" t="s">
        <x:v>90</x:v>
      </x:c>
      <x:c r="K14" s="21" t="e">
        <x:f>INDEX('통상임금 계산마스터'!$C$7:$E$29,MATCH(J14,'통상임금 계산마스터'!$B$7:$B$29,0),MATCH(I14,'통상임금 계산마스터'!$C$6:$E$6,0))</x:f>
        <x:v>#N/A</x:v>
      </x:c>
      <x:c r="L14" s="22">
        <x:v>0</x:v>
      </x:c>
      <x:c r="M14" s="21" t="e">
        <x:f>K14*L14</x:f>
        <x:v>#N/A</x:v>
      </x:c>
      <x:c r="N14" s="20" t="s">
        <x:v>6</x:v>
      </x:c>
      <x:c r="O14" s="23" t="e">
        <x:f>IF(N14="DB",K14*30*(IF(J14="1년 미만",0,IF(J14="12년 이상",12,IF(J14="18년 이상",18,1)))),0)</x:f>
        <x:v>#N/A</x:v>
      </x:c>
      <x:c r="P14" s="22"/>
      <x:c r="Q14" s="24" t="s">
        <x:v>92</x:v>
      </x:c>
    </x:row>
    <x:row r="15" spans="2:17">
      <x:c r="B15" s="19" t="s">
        <x:v>11</x:v>
      </x:c>
      <x:c r="C15" s="19" t="s">
        <x:v>9</x:v>
      </x:c>
      <x:c r="D15" s="19" t="s">
        <x:v>14</x:v>
      </x:c>
      <x:c r="E15" s="19" t="s">
        <x:v>26</x:v>
      </x:c>
      <x:c r="F15" s="24" t="s">
        <x:v>12</x:v>
      </x:c>
      <x:c r="G15" s="24" t="s">
        <x:v>94</x:v>
      </x:c>
      <x:c r="H15" s="19" t="s">
        <x:v>5</x:v>
      </x:c>
      <x:c r="I15" s="20" t="s">
        <x:v>68</x:v>
      </x:c>
      <x:c r="J15" s="20" t="s">
        <x:v>90</x:v>
      </x:c>
      <x:c r="K15" s="21" t="e">
        <x:f>INDEX('통상임금 계산마스터'!$C$7:$E$29,MATCH(J15,'통상임금 계산마스터'!$B$7:$B$29,0),MATCH(I15,'통상임금 계산마스터'!$C$6:$E$6,0))</x:f>
        <x:v>#N/A</x:v>
      </x:c>
      <x:c r="L15" s="22">
        <x:v>0</x:v>
      </x:c>
      <x:c r="M15" s="21" t="e">
        <x:f>K15*L15</x:f>
        <x:v>#N/A</x:v>
      </x:c>
      <x:c r="N15" s="20" t="s">
        <x:v>6</x:v>
      </x:c>
      <x:c r="O15" s="23" t="e">
        <x:f>IF(N15="DB",K15*30*(IF(J15="1년 미만",0,IF(J15="12년 이상",12,IF(J15="18년 이상",18,1)))),0)</x:f>
        <x:v>#N/A</x:v>
      </x:c>
      <x:c r="P15" s="22"/>
      <x:c r="Q15" s="24" t="s">
        <x:v>92</x:v>
      </x:c>
    </x:row>
    <x:row r="16" spans="2:17">
      <x:c r="B16" s="19" t="s">
        <x:v>11</x:v>
      </x:c>
      <x:c r="C16" s="19" t="s">
        <x:v>9</x:v>
      </x:c>
      <x:c r="D16" s="19" t="s">
        <x:v>14</x:v>
      </x:c>
      <x:c r="E16" s="19" t="s">
        <x:v>26</x:v>
      </x:c>
      <x:c r="F16" s="24" t="s">
        <x:v>12</x:v>
      </x:c>
      <x:c r="G16" s="24" t="s">
        <x:v>93</x:v>
      </x:c>
      <x:c r="H16" s="19" t="s">
        <x:v>5</x:v>
      </x:c>
      <x:c r="I16" s="20" t="s">
        <x:v>68</x:v>
      </x:c>
      <x:c r="J16" s="20" t="s">
        <x:v>90</x:v>
      </x:c>
      <x:c r="K16" s="21" t="e">
        <x:f>INDEX('통상임금 계산마스터'!$C$7:$E$29,MATCH(J16,'통상임금 계산마스터'!$B$7:$B$29,0),MATCH(I16,'통상임금 계산마스터'!$C$6:$E$6,0))</x:f>
        <x:v>#N/A</x:v>
      </x:c>
      <x:c r="L16" s="22">
        <x:v>0</x:v>
      </x:c>
      <x:c r="M16" s="21" t="e">
        <x:f>K16*L16</x:f>
        <x:v>#N/A</x:v>
      </x:c>
      <x:c r="N16" s="20" t="s">
        <x:v>6</x:v>
      </x:c>
      <x:c r="O16" s="23" t="e">
        <x:f>IF(N16="DB",K16*30*(IF(J16="1년 미만",0,IF(J16="12년 이상",12,IF(J16="18년 이상",18,1)))),0)</x:f>
        <x:v>#N/A</x:v>
      </x:c>
      <x:c r="P16" s="22"/>
      <x:c r="Q16" s="24" t="s">
        <x:v>92</x:v>
      </x:c>
    </x:row>
    <x:row r="17" spans="2:17">
      <x:c r="B17" s="19" t="s">
        <x:v>11</x:v>
      </x:c>
      <x:c r="C17" s="19" t="s">
        <x:v>9</x:v>
      </x:c>
      <x:c r="D17" s="19" t="s">
        <x:v>14</x:v>
      </x:c>
      <x:c r="E17" s="19" t="s">
        <x:v>26</x:v>
      </x:c>
      <x:c r="F17" s="24" t="s">
        <x:v>12</x:v>
      </x:c>
      <x:c r="G17" s="24" t="s">
        <x:v>111</x:v>
      </x:c>
      <x:c r="H17" s="19" t="s">
        <x:v>5</x:v>
      </x:c>
      <x:c r="I17" s="20" t="s">
        <x:v>68</x:v>
      </x:c>
      <x:c r="J17" s="20" t="s">
        <x:v>90</x:v>
      </x:c>
      <x:c r="K17" s="21" t="e">
        <x:f>INDEX('통상임금 계산마스터'!$C$7:$E$29,MATCH(J17,'통상임금 계산마스터'!$B$7:$B$29,0),MATCH(I17,'통상임금 계산마스터'!$C$6:$E$6,0))</x:f>
        <x:v>#N/A</x:v>
      </x:c>
      <x:c r="L17" s="22">
        <x:v>0</x:v>
      </x:c>
      <x:c r="M17" s="21" t="e">
        <x:f>K17*L17</x:f>
        <x:v>#N/A</x:v>
      </x:c>
      <x:c r="N17" s="20" t="s">
        <x:v>6</x:v>
      </x:c>
      <x:c r="O17" s="23" t="e">
        <x:f>IF(N17="DB",K17*30*(IF(J17="1년 미만",0,IF(J17="12년 이상",12,IF(J17="18년 이상",18,1)))),0)</x:f>
        <x:v>#N/A</x:v>
      </x:c>
      <x:c r="P17" s="22"/>
      <x:c r="Q17" s="24" t="s">
        <x:v>92</x:v>
      </x:c>
    </x:row>
    <x:row r="18" spans="2:17">
      <x:c r="B18" s="19" t="s">
        <x:v>11</x:v>
      </x:c>
      <x:c r="C18" s="19" t="s">
        <x:v>9</x:v>
      </x:c>
      <x:c r="D18" s="19" t="s">
        <x:v>14</x:v>
      </x:c>
      <x:c r="E18" s="19" t="s">
        <x:v>26</x:v>
      </x:c>
      <x:c r="F18" s="24" t="s">
        <x:v>12</x:v>
      </x:c>
      <x:c r="G18" s="24" t="s">
        <x:v>118</x:v>
      </x:c>
      <x:c r="H18" s="19" t="s">
        <x:v>5</x:v>
      </x:c>
      <x:c r="I18" s="20" t="s">
        <x:v>68</x:v>
      </x:c>
      <x:c r="J18" s="20" t="s">
        <x:v>90</x:v>
      </x:c>
      <x:c r="K18" s="21" t="e">
        <x:f>INDEX('통상임금 계산마스터'!$C$7:$E$29,MATCH(J18,'통상임금 계산마스터'!$B$7:$B$29,0),MATCH(I18,'통상임금 계산마스터'!$C$6:$E$6,0))</x:f>
        <x:v>#N/A</x:v>
      </x:c>
      <x:c r="L18" s="22">
        <x:v>0</x:v>
      </x:c>
      <x:c r="M18" s="21" t="e">
        <x:f>K18*L18</x:f>
        <x:v>#N/A</x:v>
      </x:c>
      <x:c r="N18" s="20" t="s">
        <x:v>6</x:v>
      </x:c>
      <x:c r="O18" s="23" t="e">
        <x:f>IF(N18="DB",K18*30*(IF(J18="1년 미만",0,IF(J18="12년 이상",12,IF(J18="18년 이상",18,1)))),0)</x:f>
        <x:v>#N/A</x:v>
      </x:c>
      <x:c r="P18" s="22"/>
      <x:c r="Q18" s="24" t="s">
        <x:v>92</x:v>
      </x:c>
    </x:row>
    <x:row r="19" spans="2:17">
      <x:c r="B19" s="19" t="s">
        <x:v>11</x:v>
      </x:c>
      <x:c r="C19" s="19" t="s">
        <x:v>9</x:v>
      </x:c>
      <x:c r="D19" s="19" t="s">
        <x:v>14</x:v>
      </x:c>
      <x:c r="E19" s="19" t="s">
        <x:v>26</x:v>
      </x:c>
      <x:c r="F19" s="24" t="s">
        <x:v>12</x:v>
      </x:c>
      <x:c r="G19" s="24" t="s">
        <x:v>102</x:v>
      </x:c>
      <x:c r="H19" s="19" t="s">
        <x:v>5</x:v>
      </x:c>
      <x:c r="I19" s="20" t="s">
        <x:v>68</x:v>
      </x:c>
      <x:c r="J19" s="20" t="s">
        <x:v>90</x:v>
      </x:c>
      <x:c r="K19" s="21" t="e">
        <x:f>INDEX('통상임금 계산마스터'!$C$7:$E$29,MATCH(J19,'통상임금 계산마스터'!$B$7:$B$29,0),MATCH(I19,'통상임금 계산마스터'!$C$6:$E$6,0))</x:f>
        <x:v>#N/A</x:v>
      </x:c>
      <x:c r="L19" s="22">
        <x:v>0</x:v>
      </x:c>
      <x:c r="M19" s="21" t="e">
        <x:f>K19*L19</x:f>
        <x:v>#N/A</x:v>
      </x:c>
      <x:c r="N19" s="20" t="s">
        <x:v>6</x:v>
      </x:c>
      <x:c r="O19" s="23" t="e">
        <x:f>IF(N19="DB",K19*30*(IF(J19="1년 미만",0,IF(J19="12년 이상",12,IF(J19="18년 이상",18,1)))),0)</x:f>
        <x:v>#N/A</x:v>
      </x:c>
      <x:c r="P19" s="22"/>
      <x:c r="Q19" s="24" t="s">
        <x:v>92</x:v>
      </x:c>
    </x:row>
    <x:row r="20" spans="2:17">
      <x:c r="B20" s="19" t="s">
        <x:v>11</x:v>
      </x:c>
      <x:c r="C20" s="19" t="s">
        <x:v>9</x:v>
      </x:c>
      <x:c r="D20" s="19" t="s">
        <x:v>14</x:v>
      </x:c>
      <x:c r="E20" s="19" t="s">
        <x:v>26</x:v>
      </x:c>
      <x:c r="F20" s="24" t="s">
        <x:v>12</x:v>
      </x:c>
      <x:c r="G20" s="24" t="s">
        <x:v>131</x:v>
      </x:c>
      <x:c r="H20" s="19" t="s">
        <x:v>5</x:v>
      </x:c>
      <x:c r="I20" s="20" t="s">
        <x:v>68</x:v>
      </x:c>
      <x:c r="J20" s="20" t="s">
        <x:v>90</x:v>
      </x:c>
      <x:c r="K20" s="21" t="e">
        <x:f>INDEX('통상임금 계산마스터'!$C$7:$E$29,MATCH(J20,'통상임금 계산마스터'!$B$7:$B$29,0),MATCH(I20,'통상임금 계산마스터'!$C$6:$E$6,0))</x:f>
        <x:v>#N/A</x:v>
      </x:c>
      <x:c r="L20" s="22">
        <x:v>0</x:v>
      </x:c>
      <x:c r="M20" s="21" t="e">
        <x:f>K20*L20</x:f>
        <x:v>#N/A</x:v>
      </x:c>
      <x:c r="N20" s="20" t="s">
        <x:v>6</x:v>
      </x:c>
      <x:c r="O20" s="23" t="e">
        <x:f>IF(N20="DB",K20*30*(IF(J20="1년 미만",0,IF(J20="12년 이상",12,IF(J20="18년 이상",18,1)))),0)</x:f>
        <x:v>#N/A</x:v>
      </x:c>
      <x:c r="P20" s="22"/>
      <x:c r="Q20" s="24" t="s">
        <x:v>92</x:v>
      </x:c>
    </x:row>
    <x:row r="21" spans="2:17">
      <x:c r="B21" s="19" t="s">
        <x:v>11</x:v>
      </x:c>
      <x:c r="C21" s="19" t="s">
        <x:v>9</x:v>
      </x:c>
      <x:c r="D21" s="19" t="s">
        <x:v>14</x:v>
      </x:c>
      <x:c r="E21" s="19" t="s">
        <x:v>26</x:v>
      </x:c>
      <x:c r="F21" s="24" t="s">
        <x:v>12</x:v>
      </x:c>
      <x:c r="G21" s="24" t="s">
        <x:v>119</x:v>
      </x:c>
      <x:c r="H21" s="19" t="s">
        <x:v>5</x:v>
      </x:c>
      <x:c r="I21" s="20" t="s">
        <x:v>68</x:v>
      </x:c>
      <x:c r="J21" s="20" t="s">
        <x:v>90</x:v>
      </x:c>
      <x:c r="K21" s="21" t="e">
        <x:f>INDEX('통상임금 계산마스터'!$C$7:$E$29,MATCH(J21,'통상임금 계산마스터'!$B$7:$B$29,0),MATCH(I21,'통상임금 계산마스터'!$C$6:$E$6,0))</x:f>
        <x:v>#N/A</x:v>
      </x:c>
      <x:c r="L21" s="22">
        <x:v>0</x:v>
      </x:c>
      <x:c r="M21" s="21" t="e">
        <x:f>K21*L21</x:f>
        <x:v>#N/A</x:v>
      </x:c>
      <x:c r="N21" s="20" t="s">
        <x:v>6</x:v>
      </x:c>
      <x:c r="O21" s="23" t="e">
        <x:f>IF(N21="DB",K21*30*(IF(J21="1년 미만",0,IF(J21="12년 이상",12,IF(J21="18년 이상",18,1)))),0)</x:f>
        <x:v>#N/A</x:v>
      </x:c>
      <x:c r="P21" s="22"/>
      <x:c r="Q21" s="24" t="s">
        <x:v>92</x:v>
      </x:c>
    </x:row>
    <x:row r="22" spans="2:17">
      <x:c r="B22" s="19" t="s">
        <x:v>11</x:v>
      </x:c>
      <x:c r="C22" s="19" t="s">
        <x:v>9</x:v>
      </x:c>
      <x:c r="D22" s="19" t="s">
        <x:v>14</x:v>
      </x:c>
      <x:c r="E22" s="19" t="s">
        <x:v>26</x:v>
      </x:c>
      <x:c r="F22" s="24" t="s">
        <x:v>12</x:v>
      </x:c>
      <x:c r="G22" s="24" t="s">
        <x:v>128</x:v>
      </x:c>
      <x:c r="H22" s="19" t="s">
        <x:v>5</x:v>
      </x:c>
      <x:c r="I22" s="20" t="s">
        <x:v>68</x:v>
      </x:c>
      <x:c r="J22" s="20" t="s">
        <x:v>90</x:v>
      </x:c>
      <x:c r="K22" s="21" t="e">
        <x:f>INDEX('통상임금 계산마스터'!$C$7:$E$29,MATCH(J22,'통상임금 계산마스터'!$B$7:$B$29,0),MATCH(I22,'통상임금 계산마스터'!$C$6:$E$6,0))</x:f>
        <x:v>#N/A</x:v>
      </x:c>
      <x:c r="L22" s="22">
        <x:v>0</x:v>
      </x:c>
      <x:c r="M22" s="21" t="e">
        <x:f>K22*L22</x:f>
        <x:v>#N/A</x:v>
      </x:c>
      <x:c r="N22" s="20" t="s">
        <x:v>6</x:v>
      </x:c>
      <x:c r="O22" s="23" t="e">
        <x:f>IF(N22="DB",K22*30*(IF(J22="1년 미만",0,IF(J22="12년 이상",12,IF(J22="18년 이상",18,1)))),0)</x:f>
        <x:v>#N/A</x:v>
      </x:c>
      <x:c r="P22" s="22"/>
      <x:c r="Q22" s="24" t="s">
        <x:v>92</x:v>
      </x:c>
    </x:row>
    <x:row r="23" spans="2:17">
      <x:c r="B23" s="19" t="s">
        <x:v>11</x:v>
      </x:c>
      <x:c r="C23" s="19" t="s">
        <x:v>9</x:v>
      </x:c>
      <x:c r="D23" s="19" t="s">
        <x:v>14</x:v>
      </x:c>
      <x:c r="E23" s="19" t="s">
        <x:v>26</x:v>
      </x:c>
      <x:c r="F23" s="24" t="s">
        <x:v>12</x:v>
      </x:c>
      <x:c r="G23" s="24" t="s">
        <x:v>64</x:v>
      </x:c>
      <x:c r="H23" s="19" t="s">
        <x:v>5</x:v>
      </x:c>
      <x:c r="I23" s="20" t="s">
        <x:v>68</x:v>
      </x:c>
      <x:c r="J23" s="20" t="s">
        <x:v>90</x:v>
      </x:c>
      <x:c r="K23" s="21" t="e">
        <x:f>INDEX('통상임금 계산마스터'!$C$7:$E$29,MATCH(J23,'통상임금 계산마스터'!$B$7:$B$29,0),MATCH(I23,'통상임금 계산마스터'!$C$6:$E$6,0))</x:f>
        <x:v>#N/A</x:v>
      </x:c>
      <x:c r="L23" s="22">
        <x:v>0</x:v>
      </x:c>
      <x:c r="M23" s="21" t="e">
        <x:f>K23*L23</x:f>
        <x:v>#N/A</x:v>
      </x:c>
      <x:c r="N23" s="20" t="s">
        <x:v>6</x:v>
      </x:c>
      <x:c r="O23" s="23" t="e">
        <x:f>IF(N23="DB",K23*30*(IF(J23="1년 미만",0,IF(J23="12년 이상",12,IF(J23="18년 이상",18,1)))),0)</x:f>
        <x:v>#N/A</x:v>
      </x:c>
      <x:c r="P23" s="22"/>
      <x:c r="Q23" s="24" t="s">
        <x:v>92</x:v>
      </x:c>
    </x:row>
    <x:row r="24" spans="2:17">
      <x:c r="B24" s="19" t="s">
        <x:v>11</x:v>
      </x:c>
      <x:c r="C24" s="19" t="s">
        <x:v>9</x:v>
      </x:c>
      <x:c r="D24" s="19" t="s">
        <x:v>14</x:v>
      </x:c>
      <x:c r="E24" s="19" t="s">
        <x:v>26</x:v>
      </x:c>
      <x:c r="F24" s="24" t="s">
        <x:v>12</x:v>
      </x:c>
      <x:c r="G24" s="24" t="s">
        <x:v>103</x:v>
      </x:c>
      <x:c r="H24" s="19" t="s">
        <x:v>5</x:v>
      </x:c>
      <x:c r="I24" s="20" t="s">
        <x:v>68</x:v>
      </x:c>
      <x:c r="J24" s="20" t="s">
        <x:v>90</x:v>
      </x:c>
      <x:c r="K24" s="21" t="e">
        <x:f>INDEX('통상임금 계산마스터'!$C$7:$E$29,MATCH(J24,'통상임금 계산마스터'!$B$7:$B$29,0),MATCH(I24,'통상임금 계산마스터'!$C$6:$E$6,0))</x:f>
        <x:v>#N/A</x:v>
      </x:c>
      <x:c r="L24" s="22">
        <x:v>0</x:v>
      </x:c>
      <x:c r="M24" s="21" t="e">
        <x:f>K24*L24</x:f>
        <x:v>#N/A</x:v>
      </x:c>
      <x:c r="N24" s="20" t="s">
        <x:v>6</x:v>
      </x:c>
      <x:c r="O24" s="23" t="e">
        <x:f>IF(N24="DB",K24*30*(IF(J24="1년 미만",0,IF(J24="12년 이상",12,IF(J24="18년 이상",18,1)))),0)</x:f>
        <x:v>#N/A</x:v>
      </x:c>
      <x:c r="P24" s="22"/>
      <x:c r="Q24" s="24" t="s">
        <x:v>92</x:v>
      </x:c>
    </x:row>
    <x:row r="25" spans="2:17" ht="17.14999999999999857891">
      <x:c r="B25" s="37" t="s">
        <x:v>44</x:v>
      </x:c>
      <x:c r="C25" s="38"/>
      <x:c r="D25" s="39"/>
      <x:c r="E25" s="39"/>
      <x:c r="F25" s="39"/>
      <x:c r="G25" s="39"/>
      <x:c r="H25" s="39"/>
      <x:c r="I25" s="39"/>
      <x:c r="J25" s="39"/>
      <x:c r="K25" s="26"/>
      <x:c r="L25" s="27">
        <x:f>SUM(L11:L24)</x:f>
        <x:v>37</x:v>
      </x:c>
      <x:c r="M25" s="27" t="e">
        <x:f>SUM(M11:M24)</x:f>
        <x:v>#N/A</x:v>
      </x:c>
      <x:c r="N25" s="26"/>
      <x:c r="O25" s="27" t="e">
        <x:f>SUM(O11:O24)</x:f>
        <x:v>#N/A</x:v>
      </x:c>
      <x:c r="P25" s="27">
        <x:f>SUM(P11:P24)</x:f>
        <x:v>0</x:v>
      </x:c>
      <x:c r="Q25" s="26"/>
    </x:row>
  </x:sheetData>
  <x:mergeCells count="1">
    <x:mergeCell ref="B25:J25"/>
  </x:mergeCells>
  <x:dataValidations count="3">
    <x:dataValidation type="list" allowBlank="1" sqref="I11:I24">
      <x:formula1>"영양사,조리사,조리실무사"</x:formula1>
    </x:dataValidation>
    <x:dataValidation type="list" allowBlank="1" sqref="J11:J24">
      <x:formula1>"1년 미만,1년 이상,2년 이상,3년 이상,4년 이상,5년 이상,6년 이상,7년 이상,8년 이상,9년 이상,10년 이상,11년 이상,12년 이상,13년 이상,14년 이상,15년 이상,16년 이상,17년 이상,18년 이상,19년 이상,20년 이상,21년 이상,22년 이상,23년 이상,24년 이상"</x:formula1>
    </x:dataValidation>
    <x:dataValidation type="list" allowBlank="1" sqref="N11:N24">
      <x:formula1>"DB,DC"</x:formula1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B2:F36"/>
  <x:sheetViews>
    <x:sheetView showGridLines="0" topLeftCell="A16" zoomScaleNormal="100" zoomScaleSheetLayoutView="100" workbookViewId="0">
      <x:selection activeCell="F36" activeCellId="0" sqref="F36:F36"/>
    </x:sheetView>
  </x:sheetViews>
  <x:sheetFormatPr defaultColWidth="9.00390625" defaultRowHeight="16.39999999999999857891"/>
  <x:cols>
    <x:col min="2" max="2" width="50" customWidth="1"/>
    <x:col min="3" max="6" width="18" customWidth="1"/>
  </x:cols>
  <x:sheetData>
    <x:row r="2" spans="2:2" ht="20.30000000000000071054">
      <x:c r="B2" s="1" t="s">
        <x:v>43</x:v>
      </x:c>
    </x:row>
    <x:row r="3" spans="2:2">
      <x:c r="B3" s="2" t="s">
        <x:v>1</x:v>
      </x:c>
    </x:row>
    <x:row r="5" spans="2:2">
      <x:c r="B5" s="3" t="s">
        <x:v>3</x:v>
      </x:c>
    </x:row>
    <x:row r="7" spans="2:5">
      <x:c r="B7" s="28" t="s">
        <x:v>0</x:v>
      </x:c>
      <x:c r="C7" s="19" t="s">
        <x:v>18</x:v>
      </x:c>
      <x:c r="D7" s="28" t="s">
        <x:v>203</x:v>
      </x:c>
      <x:c r="E7" s="19" t="s">
        <x:v>8</x:v>
      </x:c>
    </x:row>
    <x:row r="8" spans="2:5">
      <x:c r="B8" s="28" t="s">
        <x:v>21</x:v>
      </x:c>
      <x:c r="C8" s="19" t="s">
        <x:v>36</x:v>
      </x:c>
      <x:c r="D8" s="28" t="s">
        <x:v>108</x:v>
      </x:c>
      <x:c r="E8" s="19" t="s">
        <x:v>35</x:v>
      </x:c>
    </x:row>
    <x:row r="9" spans="2:5">
      <x:c r="B9" s="28" t="s">
        <x:v>37</x:v>
      </x:c>
      <x:c r="C9" s="29" t="e">
        <x:f>D8-B8</x:f>
        <x:v>#VALUE!</x:v>
      </x:c>
      <x:c r="D9" s="28" t="s">
        <x:v>29</x:v>
      </x:c>
      <x:c r="E9" s="19" t="s">
        <x:v>27</x:v>
      </x:c>
    </x:row>
    <x:row r="10" spans="2:5">
      <x:c r="B10" s="28" t="s">
        <x:v>33</x:v>
      </x:c>
      <x:c r="C10" s="22" t="s">
        <x:v>121</x:v>
      </x:c>
      <x:c r="D10" s="28" t="s">
        <x:v>169</x:v>
      </x:c>
      <x:c r="E10" s="23" t="e">
        <x:f>B10*8</x:f>
        <x:v>#VALUE!</x:v>
      </x:c>
    </x:row>
    <x:row r="13" spans="2:2">
      <x:c r="B13" s="3" t="s">
        <x:v>231</x:v>
      </x:c>
    </x:row>
    <x:row r="14" spans="2:6">
      <x:c r="B14" s="15" t="s">
        <x:v>122</x:v>
      </x:c>
      <x:c r="C14" s="15" t="s">
        <x:v>34</x:v>
      </x:c>
      <x:c r="D14" s="15" t="s">
        <x:v>31</x:v>
      </x:c>
      <x:c r="E14" s="15" t="s">
        <x:v>187</x:v>
      </x:c>
      <x:c r="F14" s="15" t="s">
        <x:v>116</x:v>
      </x:c>
    </x:row>
    <x:row r="15" spans="2:6">
      <x:c r="B15" s="6" t="s">
        <x:v>30</x:v>
      </x:c>
      <x:c r="C15" s="22">
        <x:v>2066000</x:v>
      </x:c>
      <x:c r="D15" s="22">
        <x:v>2066000</x:v>
      </x:c>
      <x:c r="E15" s="22">
        <x:v>2066000</x:v>
      </x:c>
      <x:c r="F15" s="21">
        <x:f>SUM(C15:E15)</x:f>
        <x:v>6198000</x:v>
      </x:c>
    </x:row>
    <x:row r="16" spans="2:6">
      <x:c r="B16" s="6" t="s">
        <x:v>110</x:v>
      </x:c>
      <x:c r="C16" s="22">
        <x:v>103300</x:v>
      </x:c>
      <x:c r="D16" s="22">
        <x:v>103300</x:v>
      </x:c>
      <x:c r="E16" s="22">
        <x:v>103300</x:v>
      </x:c>
      <x:c r="F16" s="21">
        <x:f>SUM(C16:E16)</x:f>
        <x:v>309900</x:v>
      </x:c>
    </x:row>
    <x:row r="17" spans="2:6">
      <x:c r="B17" s="6" t="s">
        <x:v>67</x:v>
      </x:c>
      <x:c r="C17" s="22">
        <x:v>50000</x:v>
      </x:c>
      <x:c r="D17" s="22">
        <x:v>50000</x:v>
      </x:c>
      <x:c r="E17" s="22">
        <x:v>50000</x:v>
      </x:c>
      <x:c r="F17" s="21">
        <x:f>SUM(C17:E17)</x:f>
        <x:v>150000</x:v>
      </x:c>
    </x:row>
    <x:row r="18" spans="2:6">
      <x:c r="B18" s="6" t="s">
        <x:v>197</x:v>
      </x:c>
      <x:c r="C18" s="22">
        <x:v>160000</x:v>
      </x:c>
      <x:c r="D18" s="22">
        <x:v>160000</x:v>
      </x:c>
      <x:c r="E18" s="22">
        <x:v>160000</x:v>
      </x:c>
      <x:c r="F18" s="21">
        <x:f>SUM(C18:E18)</x:f>
        <x:v>480000</x:v>
      </x:c>
    </x:row>
    <x:row r="19" spans="2:6">
      <x:c r="B19" s="6" t="s">
        <x:v>186</x:v>
      </x:c>
      <x:c r="C19" s="22">
        <x:v>720000</x:v>
      </x:c>
      <x:c r="D19" s="22">
        <x:v>720000</x:v>
      </x:c>
      <x:c r="E19" s="22">
        <x:v>720000</x:v>
      </x:c>
      <x:c r="F19" s="21">
        <x:f>SUM(C19:E19)</x:f>
        <x:v>2160000</x:v>
      </x:c>
    </x:row>
    <x:row r="20" spans="2:6">
      <x:c r="B20" s="6" t="s">
        <x:v>38</x:v>
      </x:c>
      <x:c r="C20" s="22">
        <x:v>0</x:v>
      </x:c>
      <x:c r="D20" s="22">
        <x:v>0</x:v>
      </x:c>
      <x:c r="E20" s="22">
        <x:v>0</x:v>
      </x:c>
      <x:c r="F20" s="21">
        <x:f>SUM(C20:E20)</x:f>
        <x:v>0</x:v>
      </x:c>
    </x:row>
    <x:row r="21" spans="2:6">
      <x:c r="B21" s="28" t="s">
        <x:v>41</x:v>
      </x:c>
      <x:c r="C21" s="21">
        <x:f>SUM(C15:C20)</x:f>
        <x:v>3099300</x:v>
      </x:c>
      <x:c r="D21" s="21">
        <x:f>SUM(D15:D20)</x:f>
        <x:v>3099300</x:v>
      </x:c>
      <x:c r="E21" s="21">
        <x:f>SUM(E15:E20)</x:f>
        <x:v>3099300</x:v>
      </x:c>
      <x:c r="F21" s="30">
        <x:f>SUM(F15:F20)</x:f>
        <x:v>9297900</x:v>
      </x:c>
    </x:row>
    <x:row r="22" spans="2:6">
      <x:c r="B22" s="28" t="s">
        <x:v>183</x:v>
      </x:c>
      <x:c r="C22" s="19">
        <x:v>28</x:v>
      </x:c>
      <x:c r="D22" s="19">
        <x:v>31</x:v>
      </x:c>
      <x:c r="E22" s="19">
        <x:v>31</x:v>
      </x:c>
      <x:c r="F22" s="31">
        <x:f>SUM(C22:E22)</x:f>
        <x:v>90</x:v>
      </x:c>
    </x:row>
    <x:row r="24" spans="2:2">
      <x:c r="B24" s="3" t="s">
        <x:v>200</x:v>
      </x:c>
    </x:row>
    <x:row r="25" spans="2:5">
      <x:c r="B25" s="12" t="s">
        <x:v>115</x:v>
      </x:c>
      <x:c r="C25" s="32" t="s">
        <x:v>171</x:v>
      </x:c>
      <x:c r="D25" s="12" t="s">
        <x:v>42</x:v>
      </x:c>
      <x:c r="E25" s="12" t="s">
        <x:v>165</x:v>
      </x:c>
    </x:row>
    <x:row r="26" spans="2:5">
      <x:c r="B26" s="6" t="s">
        <x:v>196</x:v>
      </x:c>
      <x:c r="C26" s="22">
        <x:v>1000000</x:v>
      </x:c>
      <x:c r="D26" s="33" t="s">
        <x:v>129</x:v>
      </x:c>
      <x:c r="E26" s="21">
        <x:f>C26*3/12</x:f>
        <x:v>250000</x:v>
      </x:c>
    </x:row>
    <x:row r="27" spans="2:5">
      <x:c r="B27" s="6" t="s">
        <x:v>198</x:v>
      </x:c>
      <x:c r="C27" s="22">
        <x:v>2144500</x:v>
      </x:c>
      <x:c r="D27" s="33" t="s">
        <x:v>129</x:v>
      </x:c>
      <x:c r="E27" s="21">
        <x:f>C27*3/12</x:f>
        <x:v>536125</x:v>
      </x:c>
    </x:row>
    <x:row r="28" spans="2:5">
      <x:c r="B28" s="6" t="s">
        <x:v>161</x:v>
      </x:c>
      <x:c r="C28" s="22">
        <x:v>998320</x:v>
      </x:c>
      <x:c r="D28" s="33" t="s">
        <x:v>45</x:v>
      </x:c>
      <x:c r="E28" s="21">
        <x:f>C28*3/12</x:f>
        <x:v>249580</x:v>
      </x:c>
    </x:row>
    <x:row r="29" spans="2:5">
      <x:c r="B29" s="28" t="s">
        <x:v>32</x:v>
      </x:c>
      <x:c r="C29" s="21">
        <x:f>SUM(C26:C28)</x:f>
        <x:v>4142820</x:v>
      </x:c>
      <x:c r="D29" s="34"/>
      <x:c r="E29" s="30">
        <x:f>SUM(E26:E28)</x:f>
        <x:v>1035705</x:v>
      </x:c>
    </x:row>
    <x:row r="31" spans="2:2">
      <x:c r="B31" s="3" t="s">
        <x:v>238</x:v>
      </x:c>
    </x:row>
    <x:row r="32" spans="2:4">
      <x:c r="B32" s="28" t="s">
        <x:v>208</x:v>
      </x:c>
      <x:c r="C32" s="21">
        <x:f>(F21+E29)/F22</x:f>
        <x:v>114817.83333333333</x:v>
      </x:c>
      <x:c r="D32" s="28" t="s">
        <x:v>23</x:v>
      </x:c>
    </x:row>
    <x:row r="33" spans="2:4">
      <x:c r="B33" s="28" t="s">
        <x:v>199</x:v>
      </x:c>
      <x:c r="C33" s="21" t="e">
        <x:f>E10</x:f>
        <x:v>#VALUE!</x:v>
      </x:c>
      <x:c r="D33" s="28" t="s">
        <x:v>23</x:v>
      </x:c>
    </x:row>
    <x:row r="34" spans="2:4">
      <x:c r="B34" s="28" t="s">
        <x:v>234</x:v>
      </x:c>
      <x:c r="C34" s="21" t="e">
        <x:f>MAX(C32,C33)</x:f>
        <x:v>#VALUE!</x:v>
      </x:c>
      <x:c r="D34" s="28" t="s">
        <x:v>23</x:v>
      </x:c>
    </x:row>
    <x:row r="35" spans="2:4">
      <x:c r="B35" s="28" t="s">
        <x:v>55</x:v>
      </x:c>
      <x:c r="C35" s="35" t="e">
        <x:f>C9/365</x:f>
        <x:v>#VALUE!</x:v>
      </x:c>
      <x:c r="D35" s="28" t="s">
        <x:v>20</x:v>
      </x:c>
    </x:row>
    <x:row r="36" spans="2:4">
      <x:c r="B36" s="28" t="s">
        <x:v>192</x:v>
      </x:c>
      <x:c r="C36" s="36" t="e">
        <x:f>ROUND(C34*30*C35,0)</x:f>
        <x:v>#VALUE!</x:v>
      </x:c>
      <x:c r="D36" s="28" t="s">
        <x:v>23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2:R21"/>
  <x:sheetViews>
    <x:sheetView showGridLines="0" tabSelected="1" topLeftCell="E1" zoomScaleNormal="100" zoomScaleSheetLayoutView="100" workbookViewId="0">
      <x:selection activeCell="O20" activeCellId="0" sqref="O20:O20"/>
    </x:sheetView>
  </x:sheetViews>
  <x:sheetFormatPr defaultColWidth="9.00390625" defaultRowHeight="16.39999999999999857891"/>
  <x:cols>
    <x:col min="1" max="1" width="18" customWidth="1"/>
    <x:col min="2" max="5" width="16" customWidth="1"/>
    <x:col min="6" max="6" width="18" customWidth="1"/>
    <x:col min="7" max="15" width="16" customWidth="1"/>
    <x:col min="16" max="17" width="20" customWidth="1"/>
    <x:col min="18" max="18" width="25" customWidth="1"/>
  </x:cols>
  <x:sheetData>
    <x:row r="2" spans="1:1" ht="20.30000000000000071054">
      <x:c r="A2" s="1" t="s">
        <x:v>211</x:v>
      </x:c>
    </x:row>
    <x:row r="3" spans="1:1">
      <x:c r="A3" s="2"/>
    </x:row>
    <x:row r="5" spans="1:1">
      <x:c r="A5" s="3" t="s">
        <x:v>57</x:v>
      </x:c>
    </x:row>
    <x:row r="7" spans="1:18" ht="28.75">
      <x:c r="A7" s="18" t="s">
        <x:v>0</x:v>
      </x:c>
      <x:c r="B7" s="18" t="s">
        <x:v>204</x:v>
      </x:c>
      <x:c r="C7" s="18" t="s">
        <x:v>124</x:v>
      </x:c>
      <x:c r="D7" s="18" t="s">
        <x:v>40</x:v>
      </x:c>
      <x:c r="E7" s="18" t="s">
        <x:v>125</x:v>
      </x:c>
      <x:c r="F7" s="18" t="s">
        <x:v>112</x:v>
      </x:c>
      <x:c r="G7" s="18" t="s">
        <x:v>175</x:v>
      </x:c>
      <x:c r="H7" s="18" t="s">
        <x:v>197</x:v>
      </x:c>
      <x:c r="I7" s="18" t="s">
        <x:v>196</x:v>
      </x:c>
      <x:c r="J7" s="18" t="s">
        <x:v>198</x:v>
      </x:c>
      <x:c r="K7" s="18" t="s">
        <x:v>106</x:v>
      </x:c>
      <x:c r="L7" s="18" t="s">
        <x:v>105</x:v>
      </x:c>
      <x:c r="M7" s="18" t="s">
        <x:v>113</x:v>
      </x:c>
      <x:c r="N7" s="18" t="s">
        <x:v>107</x:v>
      </x:c>
      <x:c r="O7" s="18" t="s">
        <x:v>114</x:v>
      </x:c>
      <x:c r="P7" s="18" t="s">
        <x:v>139</x:v>
      </x:c>
      <x:c r="Q7" s="18" t="s">
        <x:v>48</x:v>
      </x:c>
      <x:c r="R7" s="18" t="s">
        <x:v>127</x:v>
      </x:c>
    </x:row>
    <x:row r="8" spans="1:18">
      <x:c r="A8" s="20" t="s">
        <x:v>194</x:v>
      </x:c>
      <x:c r="B8" s="19" t="s">
        <x:v>233</x:v>
      </x:c>
      <x:c r="C8" s="22">
        <x:v>12631500</x:v>
      </x:c>
      <x:c r="D8" s="22"/>
      <x:c r="E8" s="22"/>
      <x:c r="F8" s="22"/>
      <x:c r="G8" s="22"/>
      <x:c r="H8" s="22">
        <x:v>1880000</x:v>
      </x:c>
      <x:c r="I8" s="22">
        <x:v>500000</x:v>
      </x:c>
      <x:c r="J8" s="22">
        <x:v>1072250</x:v>
      </x:c>
      <x:c r="K8" s="22">
        <x:v>637800</x:v>
      </x:c>
      <x:c r="L8" s="22">
        <x:v>0</x:v>
      </x:c>
      <x:c r="M8" s="22">
        <x:v>94280</x:v>
      </x:c>
      <x:c r="N8" s="22"/>
      <x:c r="O8" s="22">
        <x:v>0</x:v>
      </x:c>
      <x:c r="P8" s="21">
        <x:f>SUM(C8:O8)</x:f>
        <x:v>16815830</x:v>
      </x:c>
      <x:c r="Q8" s="30">
        <x:f>ROUND(P8/12,0)</x:f>
        <x:v>1401319</x:v>
      </x:c>
      <x:c r="R8" s="24"/>
    </x:row>
    <x:row r="9" spans="1:18">
      <x:c r="A9" s="20"/>
      <x:c r="B9" s="19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1">
        <x:f t="shared" ref="P9:P10" si="0">SUM(C9:O9)</x:f>
        <x:v>0</x:v>
      </x:c>
      <x:c r="Q9" s="30">
        <x:f t="shared" ref="Q9:Q10" si="1">ROUND(P9/12,0)</x:f>
        <x:v>0</x:v>
      </x:c>
      <x:c r="R9" s="24"/>
    </x:row>
    <x:row r="10" spans="1:18">
      <x:c r="A10" s="20"/>
      <x:c r="B10" s="19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1">
        <x:f t="shared" si="0"/>
        <x:v>0</x:v>
      </x:c>
      <x:c r="Q10" s="30">
        <x:f t="shared" si="1"/>
        <x:v>0</x:v>
      </x:c>
      <x:c r="R10" s="24"/>
    </x:row>
    <x:row r="11" spans="1:18">
      <x:c r="A11" s="24"/>
      <x:c r="B11" s="24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1"/>
      <x:c r="Q11" s="30"/>
      <x:c r="R11" s="24"/>
    </x:row>
    <x:row r="12" spans="1:18">
      <x:c r="A12" s="24"/>
      <x:c r="B12" s="24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1"/>
      <x:c r="Q12" s="30"/>
      <x:c r="R12" s="24"/>
    </x:row>
    <x:row r="13" spans="1:18">
      <x:c r="A13" s="24"/>
      <x:c r="B13" s="24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1"/>
      <x:c r="Q13" s="30"/>
      <x:c r="R13" s="24"/>
    </x:row>
    <x:row r="14" spans="1:18">
      <x:c r="A14" s="24"/>
      <x:c r="B14" s="24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1"/>
      <x:c r="Q14" s="30"/>
      <x:c r="R14" s="24"/>
    </x:row>
    <x:row r="15" spans="1:18">
      <x:c r="A15" s="24"/>
      <x:c r="B15" s="24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1"/>
      <x:c r="Q15" s="30"/>
      <x:c r="R15" s="24"/>
    </x:row>
    <x:row r="16" spans="1:18">
      <x:c r="A16" s="24"/>
      <x:c r="B16" s="24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1"/>
      <x:c r="Q16" s="30"/>
      <x:c r="R16" s="24"/>
    </x:row>
    <x:row r="17" spans="1:18">
      <x:c r="A17" s="24"/>
      <x:c r="B17" s="24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1"/>
      <x:c r="Q17" s="30"/>
      <x:c r="R17" s="24"/>
    </x:row>
    <x:row r="18" spans="1:18">
      <x:c r="A18" s="24"/>
      <x:c r="B18" s="24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1"/>
      <x:c r="Q18" s="30"/>
      <x:c r="R18" s="24"/>
    </x:row>
    <x:row r="19" spans="1:18">
      <x:c r="A19" s="24"/>
      <x:c r="B19" s="24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1"/>
      <x:c r="Q19" s="30"/>
      <x:c r="R19" s="24"/>
    </x:row>
    <x:row r="20" spans="1:18">
      <x:c r="A20" s="24"/>
      <x:c r="B20" s="24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1"/>
      <x:c r="Q20" s="30"/>
      <x:c r="R20" s="24"/>
    </x:row>
    <x:row r="21" spans="1:18" ht="17.14999999999999857891">
      <x:c r="A21" s="25" t="s">
        <x:v>44</x:v>
      </x:c>
      <x:c r="B21" s="26"/>
      <x:c r="C21" s="27">
        <x:f>SUM(C8:C20)</x:f>
        <x:v>12631500</x:v>
      </x:c>
      <x:c r="D21" s="27">
        <x:f>SUM(D8:D20)</x:f>
        <x:v>0</x:v>
      </x:c>
      <x:c r="E21" s="27">
        <x:f>SUM(E8:E20)</x:f>
        <x:v>0</x:v>
      </x:c>
      <x:c r="F21" s="27">
        <x:f>SUM(F8:F20)</x:f>
        <x:v>0</x:v>
      </x:c>
      <x:c r="G21" s="27">
        <x:f>SUM(G8:G20)</x:f>
        <x:v>0</x:v>
      </x:c>
      <x:c r="H21" s="27">
        <x:f>SUM(H8:H20)</x:f>
        <x:v>1880000</x:v>
      </x:c>
      <x:c r="I21" s="27">
        <x:f>SUM(I8:I20)</x:f>
        <x:v>500000</x:v>
      </x:c>
      <x:c r="J21" s="27">
        <x:f>SUM(J8:J20)</x:f>
        <x:v>1072250</x:v>
      </x:c>
      <x:c r="K21" s="27">
        <x:f>SUM(K8:K20)</x:f>
        <x:v>637800</x:v>
      </x:c>
      <x:c r="L21" s="27">
        <x:f>SUM(L8:L20)</x:f>
        <x:v>0</x:v>
      </x:c>
      <x:c r="M21" s="27">
        <x:f>SUM(M8:M20)</x:f>
        <x:v>94280</x:v>
      </x:c>
      <x:c r="N21" s="27">
        <x:f>SUM(N8:N20)</x:f>
        <x:v>0</x:v>
      </x:c>
      <x:c r="O21" s="27">
        <x:f>SUM(O8:O20)</x:f>
        <x:v>0</x:v>
      </x:c>
      <x:c r="P21" s="27">
        <x:f>SUM(P8:P20)</x:f>
        <x:v>16815830</x:v>
      </x:c>
      <x:c r="Q21" s="27">
        <x:f>SUM(Q8:Q20)</x:f>
        <x:v>1401319</x:v>
      </x:c>
      <x:c r="R21" s="2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TOC &amp; Legend</vt:lpstr>
      <vt:lpstr>기준단가표</vt:lpstr>
      <vt:lpstr>통상임금 계산마스터</vt:lpstr>
      <vt:lpstr>개인별 예상소요액 내역서</vt:lpstr>
      <vt:lpstr>DB형 상세 산정서</vt:lpstr>
      <vt:lpstr>DC형 연간 정산서</vt:lpstr>
    </vt:vector>
  </ep:TitlesOfParts>
  <ep:TotalTime>102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7</cp:revision>
  <dcterms:created xsi:type="dcterms:W3CDTF">2026-08-27T09:25:50.000</dcterms:created>
  <dcterms:modified xsi:type="dcterms:W3CDTF">2026-08-31T09:09:09.214</dcterms:modified>
  <cp:version>1200.0100.01</cp:version>
</cp:coreProperties>
</file>