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3_통상임금\02_계산식\"/>
    </mc:Choice>
  </mc:AlternateContent>
  <x:bookViews>
    <x:workbookView xWindow="0" yWindow="0" windowWidth="28485" windowHeight="11295" activeTab="1"/>
  </x:bookViews>
  <x:sheets>
    <x:sheet name="사용안내 및 법적기준" sheetId="1" r:id="rId4"/>
    <x:sheet name="통상임금 계산기" sheetId="2" r:id="rId5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System</x:author>
  </x:authors>
  <x:commentList>
    <x:comment ref="B6:B6" authorId="0">
      <x:text>
        <x:r>
          <x:t>마우스로 시설미화원 또는 시설당직원을 선택하세요.</x:t>
        </x:r>
      </x:text>
    </x:comment>
    <x:comment ref="C6:C6" authorId="0">
      <x:text>
        <x:r>
          <x:t>주 소정근로시간을 직접 입력하세요 (예: 40, 36, 30 등).</x:t>
        </x:r>
      </x:text>
    </x:comment>
    <x:comment ref="F6:F6" authorId="0">
      <x:text>
        <x:r>
          <x:t>자동계산 기본급입니다.
미화원: 기본급*시간/40
당직원: 기본급*시간/48</x:t>
        </x:r>
      </x:text>
    </x:comment>
    <x:comment ref="K6:K6" authorId="0">
      <x:text>
        <x:r>
          <x:t>당직원은 감단근로자로 간주하여 주휴일(유급시간)을 제외하고 계산됩니다.</x:t>
        </x:r>
      </x:text>
    </x:comment>
    <x:comment ref="L6:L6" authorId="0">
      <x:text>
        <x:r>
          <x:t>월 통상임금 합계액을 월 임금산정시간으로 나눈 후 원단위 반올림한 금액입니다.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<x:sst xmlns:r="http://schemas.openxmlformats.org/officeDocument/2006/relationships" xmlns:c="http://schemas.openxmlformats.org/drawingml/2006/chart" xmlns:x="http://schemas.openxmlformats.org/spreadsheetml/2006/main" count="71" uniqueCount="58">
  <x:si>
    <x:t>정기상여금 월할 (원)</x:t>
  </x:si>
  <x:si>
    <x:t>시설미화원 (단시간 30H)</x:t>
  </x:si>
  <x:si>
    <x:t>명절휴가비 월할 (원)</x:t>
  </x:si>
  <x:si>
    <x:t>시간급 통상임금 (원)</x:t>
  </x:si>
  <x:si>
    <x:t>월 통상임금 합계 (원)</x:t>
  </x:si>
  <x:si>
    <x:t>주 40시간 소정근로 기준</x:t>
  </x:si>
  <x:si>
    <x:t>주 48시간 소정근로 기준</x:t>
  </x:si>
  <x:si>
    <x:t>관련 근거 및 유의사항</x:t>
  </x:si>
  <x:si>
    <x:t>시설미화원 (단시간 20H)</x:t>
  </x:si>
  <x:si>
    <x:t>월 산정시간</x:t>
  </x:si>
  <x:si>
    <x:t>기본급 (원)</x:t>
  </x:si>
  <x:si>
    <x:t>주 소정시간</x:t>
  </x:si>
  <x:si>
    <x:t>가족수당</x:t>
  </x:si>
  <x:si>
    <x:t>직종 선택</x:t>
  </x:si>
  <x:si>
    <x:t>대상 제외</x:t>
  </x:si>
  <x:si>
    <x:t>정기상여금</x:t>
  </x:si>
  <x:si>
    <x:t>정액급식비</x:t>
  </x:si>
  <x:si>
    <x:t>명절휴가비</x:t>
  </x:si>
  <x:si>
    <x:t>ROUND(4.345 × (주소정시간 + 주휴시간), 0)
- 주 40시간: 209시간
- 주 30시간: 156시간
- 주 20시간: 104시간</x:t>
  </x:si>
  <x:si>
    <x:t>경기도교육청 특수운영직군 급여 및 통상임금 산정 기준 (2026년)</x:t>
  </x:si>
  <x:si>
    <x:t>★당직원은 주 48시간이 풀타임 기준이므로 주 40시간 근무 시 기본급도 40/48로 감액 비례지급됨</x:t>
  </x:si>
  <x:si>
    <x:t>구분</x:t>
  </x:si>
  <x:si>
    <x:t>성명</x:t>
  </x:si>
  <x:si>
    <x:t>단시간(주 15시간 이상) 근로자도 전액 지급 항목</x:t>
  </x:si>
  <x:si>
    <x:t>2026년 유형2 기본급 단가: 2,144,500원 적용</x:t>
  </x:si>
  <x:si>
    <x:t>💡 경기도교육청 특수운영직군 대표 사례별 통상임금 비교표 (2026년 기준)</x:t>
  </x:si>
  <x:si>
    <x:t>배우자 월 4만원, 첫째 5만원, 둘째 8만원 등 (통상임금에는 미산입)</x:t>
  </x:si>
  <x:si>
    <x:t>특수운영직군(시설미화원·시설당직원) 통상임금 자동 계산기 (2026년 기준)</x:t>
  </x:si>
  <x:si>
    <x:t>시설당직원</x:t>
  </x:si>
  <x:si>
    <x:t>본 자료는 경기도교육청 교육공무직원 급여 업무 매뉴얼 및 단체협약(2026.2.11.)을 바탕으로 작성되었습니다.
특수운영직군(시설미화원, 시설당직원)은 일반 교육공무직원(유형1, 유형2)과 대비하여 기본급 비례 공식과 월 임금산정시간 계산법에 독특한 특례가 적용되므로 급여 및 통상임금 계산 시 각별한 주의가 필요합니다.</x:t>
  </x:si>
  <x:si>
    <x:t>2026년 설날 명절휴가비부터 유형2 기본급 100% 적용 및 단시간·특수운영직군 전액 지급</x:t>
  </x:si>
  <x:si>
    <x:t>연 50만원 한도로 1월, 8월 각 25만원 균분 지급 (일반 공무직 연 100만원의 절반)</x:t>
  </x:si>
  <x:si>
    <x:t>경기도교육청 지침상 특수운영직군은 근속수당 지급 대상에서 제외됨 (기본 임금 체계에 미포함)</x:t>
  </x:si>
  <x:si>
    <x:t>시설당직원 (주 40H 당직)</x:t>
  </x:si>
  <x:si>
    <x:t>시설당직원 (주 36H 당직)</x:t>
  </x:si>
  <x:si>
    <x:t>월 160,000원 (전액 지급)</x:t>
  </x:si>
  <x:si>
    <x:t>지급 조건 충족 시 전액 지급</x:t>
  </x:si>
  <x:si>
    <x:t>기본급 산정 기준</x:t>
  </x:si>
  <x:si>
    <x:t>기본급 계산 공식</x:t>
  </x:si>
  <x:si>
    <x:t>월 임금산정시간</x:t>
  </x:si>
  <x:si>
    <x:t>정액급식비 (원)</x:t>
  </x:si>
  <x:si>
    <x:t>주 소정근로시간</x:t>
  </x:si>
  <x:si>
    <x:t>명절휴가비 대상</x:t>
  </x:si>
  <x:si>
    <x:t>상여금 대상여부</x:t>
  </x:si>
  <x:si>
    <x:t>예</x:t>
  </x:si>
  <x:si>
    <x:t>홍길동</x:t>
  </x:si>
  <x:si>
    <x:t>직종</x:t>
  </x:si>
  <x:si>
    <x:t>ROUND(4.345 × 주소정시간, 0)
- 주 40시간: 174시간
- 주 36시간: 156시간</x:t>
  </x:si>
  <x:si>
    <x:t>근속수당</x:t>
  </x:si>
  <x:si>
    <x:t>시설미화원 (풀타임)</x:t>
  </x:si>
  <x:si>
    <x:t>시설미화원 (Sanitation Worker)</x:t>
  </x:si>
  <x:si>
    <x:t>연 2,144,500원 (월할 178,708원)</x:t>
  </x:si>
  <x:si>
    <x:t>★당직원은 감시·단속적 근로자로 주휴일 적용이 배제되어 월 산정시간에 주휴시간(주 8시간분)이 산입되지 않음</x:t>
  </x:si>
  <x:si>
    <x:t>* 파란색 음영 처리된 셀(B7~F7)의 입력값/선택값을 변경하면 전체 금액과 통상임금이 자동으로 계산됩니다.</x:t>
  </x:si>
  <x:si>
    <x:t>유형2 기본급 × 주소정시간 ÷ 40</x:t>
  </x:si>
  <x:si>
    <x:t>연 500,000원 (월할 41,667원)</x:t>
  </x:si>
  <x:si>
    <x:t>유형2 기본급 × 주소정시간 ÷ 48</x:t>
  </x:si>
  <x:si>
    <x:t>시설당직원 (Security Guard)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</x:si>
</x:sst>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9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Calibri"/>
          <x:sz val="9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6"/>
          <x:color rgb="ff1f4e78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6"/>
          <x:color rgb="ff1f4e7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5"/>
          <x:color rgb="ff1f4e78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5"/>
          <x:color rgb="ff1f4e7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555555"/>
          <x:i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555555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1f4e78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1f4e78"/>
          <x:b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1f4e78"/>
        <x:bgColor rgb="ff1f4e78"/>
      </x:patternFill>
    </x:fill>
    <x:fill>
      <x:patternFill patternType="solid">
        <x:fgColor rgb="fff2f5f8"/>
        <x:bgColor rgb="fff2f5f8"/>
      </x:patternFill>
    </x:fill>
    <x:fill>
      <x:patternFill patternType="solid">
        <x:fgColor rgb="ffdce6f1"/>
        <x:bgColor rgb="ffdce6f1"/>
      </x:patternFill>
    </x:fill>
    <x:fill>
      <x:patternFill patternType="solid">
        <x:fgColor rgb="ffe2efda"/>
        <x:bgColor rgb="ffe2efda"/>
      </x:patternFill>
    </x:fill>
    <x:fill>
      <x:patternFill patternType="solid">
        <x:fgColor rgb="ff5b9bd5"/>
        <x:bgColor rgb="ff5b9bd5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3d9de"/>
      </x:left>
      <x:right style="thin">
        <x:color rgb="ffd3d9de"/>
      </x:right>
      <x:top style="thin">
        <x:color rgb="ffd3d9de"/>
      </x:top>
      <x:bottom style="thin">
        <x:color rgb="ffd3d9de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7" fillId="0" borderId="0" xfId="0">
      <x:alignment horizontal="general" vertical="bottom"/>
    </x:xf>
    <x:xf numFmtId="0" fontId="0" fillId="0" borderId="0" xfId="0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Alignment="1">
          <x:alignment horizontal="center" vertical="center"/>
        </x:xf>
      </mc:Fallback>
    </mc:AlternateContent>
    <x:xf numFmtId="0" fontId="9" fillId="3" borderId="1" xfId="0" applyBorder="1" applyAlignment="1">
      <x:alignment horizontal="general" vertical="center" wrapText="1"/>
    </x:xf>
    <x:xf numFmtId="0" fontId="10" fillId="0" borderId="1" xfId="0" applyBorder="1" applyAlignment="1">
      <x:alignment horizontal="general" vertical="center" wrapText="1"/>
    </x:xf>
    <x:xf numFmtId="0" fontId="11" fillId="0" borderId="0" xfId="0">
      <x:alignment horizontal="general" vertical="bottom"/>
    </x:xf>
    <x:xf numFmtId="0" fontId="12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2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0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5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5" borderId="1" xfId="0" applyBorder="1" applyAlignment="1">
          <x:alignment horizontal="right" vertical="center"/>
        </x:xf>
      </mc:Fallback>
    </mc:AlternateContent>
    <x:xf numFmtId="0" fontId="14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6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1" xfId="0" applyBorder="1" applyAlignment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4"/>
  <x:sheetViews>
    <x:sheetView showGridLines="0" topLeftCell="A1" zoomScaleNormal="75" zoomScaleSheetLayoutView="100" workbookViewId="0">
      <x:selection activeCell="A2" activeCellId="0" sqref="A2:A2"/>
    </x:sheetView>
  </x:sheetViews>
  <x:sheetFormatPr defaultColWidth="9.00390625" defaultRowHeight="16.39999999999999857891"/>
  <x:cols>
    <x:col min="1" max="1" width="18" customWidth="1"/>
    <x:col min="2" max="3" width="32" customWidth="1"/>
    <x:col min="4" max="4" width="50" customWidth="1"/>
  </x:cols>
  <x:sheetData>
    <x:row r="1" spans="1:1">
      <x:c r="A1" s="1"/>
    </x:row>
    <x:row r="2" spans="1:1" ht="20.30000000000000071054">
      <x:c r="A2" s="2" t="s">
        <x:v>19</x:v>
      </x:c>
    </x:row>
    <x:row r="4" spans="1:1" ht="50" customHeight="1">
      <x:c r="A4" s="3" t="s">
        <x:v>29</x:v>
      </x:c>
    </x:row>
    <x:row r="6" spans="1:4" ht="28" customHeight="1">
      <x:c r="A6" s="4" t="s">
        <x:v>21</x:v>
      </x:c>
      <x:c r="B6" s="4" t="s">
        <x:v>50</x:v>
      </x:c>
      <x:c r="C6" s="4" t="s">
        <x:v>57</x:v>
      </x:c>
      <x:c r="D6" s="4" t="s">
        <x:v>7</x:v>
      </x:c>
    </x:row>
    <x:row r="7" spans="1:4" ht="45" customHeight="1">
      <x:c r="A7" s="5" t="s">
        <x:v>37</x:v>
      </x:c>
      <x:c r="B7" s="6" t="s">
        <x:v>5</x:v>
      </x:c>
      <x:c r="C7" s="6" t="s">
        <x:v>6</x:v>
      </x:c>
      <x:c r="D7" s="6" t="s">
        <x:v>20</x:v>
      </x:c>
    </x:row>
    <x:row r="8" spans="1:4" ht="45" customHeight="1">
      <x:c r="A8" s="5" t="s">
        <x:v>38</x:v>
      </x:c>
      <x:c r="B8" s="6" t="s">
        <x:v>54</x:v>
      </x:c>
      <x:c r="C8" s="6" t="s">
        <x:v>56</x:v>
      </x:c>
      <x:c r="D8" s="6" t="s">
        <x:v>24</x:v>
      </x:c>
    </x:row>
    <x:row r="9" spans="1:4" ht="45" customHeight="1">
      <x:c r="A9" s="5" t="s">
        <x:v>39</x:v>
      </x:c>
      <x:c r="B9" s="6" t="s">
        <x:v>18</x:v>
      </x:c>
      <x:c r="C9" s="6" t="s">
        <x:v>47</x:v>
      </x:c>
      <x:c r="D9" s="6" t="s">
        <x:v>52</x:v>
      </x:c>
    </x:row>
    <x:row r="10" spans="1:4" ht="45" customHeight="1">
      <x:c r="A10" s="5" t="s">
        <x:v>16</x:v>
      </x:c>
      <x:c r="B10" s="6" t="s">
        <x:v>35</x:v>
      </x:c>
      <x:c r="C10" s="6" t="s">
        <x:v>35</x:v>
      </x:c>
      <x:c r="D10" s="6" t="s">
        <x:v>23</x:v>
      </x:c>
    </x:row>
    <x:row r="11" spans="1:4" ht="45" customHeight="1">
      <x:c r="A11" s="5" t="s">
        <x:v>15</x:v>
      </x:c>
      <x:c r="B11" s="6" t="s">
        <x:v>55</x:v>
      </x:c>
      <x:c r="C11" s="6" t="s">
        <x:v>55</x:v>
      </x:c>
      <x:c r="D11" s="6" t="s">
        <x:v>31</x:v>
      </x:c>
    </x:row>
    <x:row r="12" spans="1:4" ht="45" customHeight="1">
      <x:c r="A12" s="5" t="s">
        <x:v>17</x:v>
      </x:c>
      <x:c r="B12" s="6" t="s">
        <x:v>51</x:v>
      </x:c>
      <x:c r="C12" s="6" t="s">
        <x:v>51</x:v>
      </x:c>
      <x:c r="D12" s="6" t="s">
        <x:v>30</x:v>
      </x:c>
    </x:row>
    <x:row r="13" spans="1:4" ht="45" customHeight="1">
      <x:c r="A13" s="5" t="s">
        <x:v>12</x:v>
      </x:c>
      <x:c r="B13" s="6" t="s">
        <x:v>36</x:v>
      </x:c>
      <x:c r="C13" s="6" t="s">
        <x:v>36</x:v>
      </x:c>
      <x:c r="D13" s="6" t="s">
        <x:v>26</x:v>
      </x:c>
    </x:row>
    <x:row r="14" spans="1:4" ht="45" customHeight="1">
      <x:c r="A14" s="5" t="s">
        <x:v>48</x:v>
      </x:c>
      <x:c r="B14" s="6" t="s">
        <x:v>14</x:v>
      </x:c>
      <x:c r="C14" s="6" t="s">
        <x:v>14</x:v>
      </x:c>
      <x:c r="D14" s="6" t="s">
        <x:v>32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17"/>
  <x:sheetViews>
    <x:sheetView showGridLines="0" tabSelected="1" topLeftCell="A1" zoomScaleNormal="75" zoomScaleSheetLayoutView="100" workbookViewId="0">
      <x:pane xSplit="0" ySplit="7" topLeftCell="A8" activePane="bottomLeft" state="frozen"/>
      <x:selection pane="bottomLeft" activeCell="D12" activeCellId="0" sqref="D12:D12"/>
    </x:sheetView>
  </x:sheetViews>
  <x:sheetFormatPr defaultColWidth="9.00390625" defaultRowHeight="16.39999999999999857891"/>
  <x:cols>
    <x:col min="1" max="2" width="18" customWidth="1"/>
    <x:col min="3" max="3" width="16" customWidth="1"/>
    <x:col min="4" max="5" width="15" customWidth="1"/>
    <x:col min="6" max="7" width="16" customWidth="1"/>
    <x:col min="8" max="9" width="18" customWidth="1"/>
    <x:col min="10" max="10" width="20" customWidth="1"/>
    <x:col min="11" max="11" width="15" customWidth="1"/>
    <x:col min="12" max="12" width="20" customWidth="1"/>
  </x:cols>
  <x:sheetData>
    <x:row r="1" spans="1:1">
      <x:c r="A1" s="1"/>
    </x:row>
    <x:row r="2" spans="1:1" ht="19.55000000000000071054">
      <x:c r="A2" s="7" t="s">
        <x:v>27</x:v>
      </x:c>
    </x:row>
    <x:row r="3" spans="1:1">
      <x:c r="A3" s="8" t="s">
        <x:v>53</x:v>
      </x:c>
    </x:row>
    <x:row r="6" spans="1:12" ht="32" customHeight="1">
      <x:c r="A6" s="9" t="s">
        <x:v>22</x:v>
      </x:c>
      <x:c r="B6" s="9" t="s">
        <x:v>13</x:v>
      </x:c>
      <x:c r="C6" s="9" t="s">
        <x:v>41</x:v>
      </x:c>
      <x:c r="D6" s="9" t="s">
        <x:v>43</x:v>
      </x:c>
      <x:c r="E6" s="9" t="s">
        <x:v>42</x:v>
      </x:c>
      <x:c r="F6" s="9" t="s">
        <x:v>10</x:v>
      </x:c>
      <x:c r="G6" s="9" t="s">
        <x:v>40</x:v>
      </x:c>
      <x:c r="H6" s="9" t="s">
        <x:v>0</x:v>
      </x:c>
      <x:c r="I6" s="9" t="s">
        <x:v>2</x:v>
      </x:c>
      <x:c r="J6" s="9" t="s">
        <x:v>4</x:v>
      </x:c>
      <x:c r="K6" s="9" t="s">
        <x:v>39</x:v>
      </x:c>
      <x:c r="L6" s="9" t="s">
        <x:v>3</x:v>
      </x:c>
    </x:row>
    <x:row r="7" spans="1:12" ht="28" customHeight="1">
      <x:c r="A7" s="10" t="s">
        <x:v>45</x:v>
      </x:c>
      <x:c r="B7" s="10" t="s">
        <x:v>28</x:v>
      </x:c>
      <x:c r="C7" s="11">
        <x:v>40</x:v>
      </x:c>
      <x:c r="D7" s="10" t="s">
        <x:v>44</x:v>
      </x:c>
      <x:c r="E7" s="10" t="s">
        <x:v>44</x:v>
      </x:c>
      <x:c r="F7" s="12">
        <x:f>IF(B7="시설미화원",2144500*C7/40,2144500*C7/48)</x:f>
        <x:v>1787083.3333333333</x:v>
      </x:c>
      <x:c r="G7" s="12">
        <x:f>IF(C7&gt;=15,160000,0)</x:f>
        <x:v>160000</x:v>
      </x:c>
      <x:c r="H7" s="12">
        <x:f>IF(D7="예",500000/12,0)</x:f>
        <x:v>41666.666666666664</x:v>
      </x:c>
      <x:c r="I7" s="12">
        <x:f>IF(E7="예",2144500/12,0)</x:f>
        <x:v>178708.33333333334</x:v>
      </x:c>
      <x:c r="J7" s="12">
        <x:f>F7+G7+H7+I7</x:f>
        <x:v>2167458.3333333335</x:v>
      </x:c>
      <x:c r="K7" s="12">
        <x:f>IF(B7="시설미화원",ROUND(4.345*(C7+(C7/40*8)),0),ROUND(4.345*C7,0))</x:f>
        <x:v>174</x:v>
      </x:c>
      <x:c r="L7" s="12">
        <x:f>ROUND(J7/K7,0)</x:f>
        <x:v>12457</x:v>
      </x:c>
    </x:row>
    <x:row r="10" spans="1:1">
      <x:c r="A10" s="13" t="s">
        <x:v>25</x:v>
      </x:c>
    </x:row>
    <x:row r="12" spans="1:9" ht="26" customHeight="1">
      <x:c r="A12" s="14" t="s">
        <x:v>46</x:v>
      </x:c>
      <x:c r="B12" s="14" t="s">
        <x:v>11</x:v>
      </x:c>
      <x:c r="C12" s="14" t="s">
        <x:v>10</x:v>
      </x:c>
      <x:c r="D12" s="14" t="s">
        <x:v>40</x:v>
      </x:c>
      <x:c r="E12" s="14" t="s">
        <x:v>0</x:v>
      </x:c>
      <x:c r="F12" s="14" t="s">
        <x:v>2</x:v>
      </x:c>
      <x:c r="G12" s="14" t="s">
        <x:v>4</x:v>
      </x:c>
      <x:c r="H12" s="14" t="s">
        <x:v>9</x:v>
      </x:c>
      <x:c r="I12" s="14" t="s">
        <x:v>3</x:v>
      </x:c>
    </x:row>
    <x:row r="13" spans="1:9" ht="24" customHeight="1">
      <x:c r="A13" s="15" t="s">
        <x:v>49</x:v>
      </x:c>
      <x:c r="B13" s="16">
        <x:v>40</x:v>
      </x:c>
      <x:c r="C13" s="16">
        <x:v>2144500</x:v>
      </x:c>
      <x:c r="D13" s="16">
        <x:v>160000</x:v>
      </x:c>
      <x:c r="E13" s="16">
        <x:v>41667</x:v>
      </x:c>
      <x:c r="F13" s="16">
        <x:v>178708</x:v>
      </x:c>
      <x:c r="G13" s="16">
        <x:f>SUM(C13:F13)</x:f>
        <x:v>2524875</x:v>
      </x:c>
      <x:c r="H13" s="16">
        <x:v>209</x:v>
      </x:c>
      <x:c r="I13" s="16">
        <x:f>ROUND(G13/H13,0)</x:f>
        <x:v>12081</x:v>
      </x:c>
    </x:row>
    <x:row r="14" spans="1:9" ht="24" customHeight="1">
      <x:c r="A14" s="15" t="s">
        <x:v>1</x:v>
      </x:c>
      <x:c r="B14" s="16">
        <x:v>30</x:v>
      </x:c>
      <x:c r="C14" s="16">
        <x:f>2144500*30/40</x:f>
        <x:v>1608375</x:v>
      </x:c>
      <x:c r="D14" s="16">
        <x:v>160000</x:v>
      </x:c>
      <x:c r="E14" s="16">
        <x:v>41667</x:v>
      </x:c>
      <x:c r="F14" s="16">
        <x:v>178708</x:v>
      </x:c>
      <x:c r="G14" s="16">
        <x:f>SUM(C14:F14)</x:f>
        <x:v>1988750</x:v>
      </x:c>
      <x:c r="H14" s="16">
        <x:v>156</x:v>
      </x:c>
      <x:c r="I14" s="16">
        <x:f>ROUND(G14/H14,0)</x:f>
        <x:v>12748</x:v>
      </x:c>
    </x:row>
    <x:row r="15" spans="1:9" ht="24" customHeight="1">
      <x:c r="A15" s="15" t="s">
        <x:v>8</x:v>
      </x:c>
      <x:c r="B15" s="16">
        <x:v>20</x:v>
      </x:c>
      <x:c r="C15" s="16">
        <x:f>2144500*20/40</x:f>
        <x:v>1072250</x:v>
      </x:c>
      <x:c r="D15" s="16">
        <x:v>160000</x:v>
      </x:c>
      <x:c r="E15" s="16">
        <x:v>41667</x:v>
      </x:c>
      <x:c r="F15" s="16">
        <x:v>178708</x:v>
      </x:c>
      <x:c r="G15" s="16">
        <x:f>SUM(C15:F15)</x:f>
        <x:v>1452625</x:v>
      </x:c>
      <x:c r="H15" s="16">
        <x:v>104</x:v>
      </x:c>
      <x:c r="I15" s="16">
        <x:f>ROUND(G15/H15,0)</x:f>
        <x:v>13968</x:v>
      </x:c>
    </x:row>
    <x:row r="16" spans="1:9" ht="24" customHeight="1">
      <x:c r="A16" s="15" t="s">
        <x:v>33</x:v>
      </x:c>
      <x:c r="B16" s="16">
        <x:v>40</x:v>
      </x:c>
      <x:c r="C16" s="16">
        <x:f>2144500*40/48</x:f>
        <x:v>1787083.3333333333</x:v>
      </x:c>
      <x:c r="D16" s="16">
        <x:v>160000</x:v>
      </x:c>
      <x:c r="E16" s="16">
        <x:v>41667</x:v>
      </x:c>
      <x:c r="F16" s="16">
        <x:v>178708</x:v>
      </x:c>
      <x:c r="G16" s="16">
        <x:f>SUM(C16:F16)</x:f>
        <x:v>2167458.333333333</x:v>
      </x:c>
      <x:c r="H16" s="16">
        <x:v>174</x:v>
      </x:c>
      <x:c r="I16" s="16">
        <x:f>ROUND(G16/H16,0)</x:f>
        <x:v>12457</x:v>
      </x:c>
    </x:row>
    <x:row r="17" spans="1:9" ht="24" customHeight="1">
      <x:c r="A17" s="15" t="s">
        <x:v>34</x:v>
      </x:c>
      <x:c r="B17" s="16">
        <x:v>36</x:v>
      </x:c>
      <x:c r="C17" s="16">
        <x:f>2144500*36/48</x:f>
        <x:v>1608375</x:v>
      </x:c>
      <x:c r="D17" s="16">
        <x:v>160000</x:v>
      </x:c>
      <x:c r="E17" s="16">
        <x:v>41667</x:v>
      </x:c>
      <x:c r="F17" s="16">
        <x:v>178708</x:v>
      </x:c>
      <x:c r="G17" s="16">
        <x:f>SUM(C17:F17)</x:f>
        <x:v>1988750</x:v>
      </x:c>
      <x:c r="H17" s="16">
        <x:v>156</x:v>
      </x:c>
      <x:c r="I17" s="16">
        <x:f>ROUND(G17/H17,0)</x:f>
        <x:v>12748</x:v>
      </x:c>
    </x:row>
  </x:sheetData>
  <x:dataValidations count="2">
    <x:dataValidation type="list" sqref="B7:B7">
      <x:formula1>"시설미화원,시설당직원"</x:formula1>
    </x:dataValidation>
    <x:dataValidation type="list" sqref="D7:D7 E7:E7">
      <x:formula1>"예,아니오"</x:formula1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사용안내 및 법적기준</vt:lpstr>
      <vt:lpstr>통상임금 계산기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2026-08-27T08:08:13.000</dcterms:created>
  <dcterms:modified xsi:type="dcterms:W3CDTF">2026-08-27T08:10:39.832</dcterms:modified>
  <cp:version>1200.0100.01</cp:version>
</cp:coreProperties>
</file>