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97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교육공무직원-연구회 자료 관련\"/>
    </mc:Choice>
  </mc:AlternateContent>
  <x:bookViews>
    <x:workbookView xWindow="0" yWindow="0" windowWidth="28455" windowHeight="11310" tabRatio="836"/>
  </x:bookViews>
  <x:sheets>
    <x:sheet name="1.교직원" sheetId="1" r:id="rId4"/>
    <x:sheet name="퇴직금(DC)" sheetId="2" r:id="rId5"/>
    <x:sheet name="근속수당 지급액" sheetId="3" r:id="rId6"/>
    <x:sheet name="3.통상임금" sheetId="4" r:id="rId7"/>
    <x:sheet name="4.연차수당" sheetId="5" r:id="rId8"/>
    <x:sheet name="5.초과근무수당" sheetId="6" r:id="rId9"/>
    <x:sheet name="6.퇴직금(적립,DB)" sheetId="7" r:id="rId10"/>
  </x:sheets>
  <x:definedNames>
    <x:definedName name="_xlnm.Print_Area">#REF!</x:definedName>
    <x:definedName name="_xlnm.Print_Area">#REF!</x:definedName>
    <x:definedName name="_xlnm.Print_Area">#REF!</x:definedName>
    <x:definedName name="_xlnm.Print_Area" localSheetId="0">'1.교직원'!$B$2:$G$20</x:definedName>
    <x:definedName name="_xlnm.Print_Area" localSheetId="4">'4.연차수당'!$B$2:$O$24</x:definedName>
    <x:definedName name="_xlnm.Print_Area" localSheetId="5">'5.초과근무수당'!$B$2:$K$25</x:definedName>
    <x:definedName name="_xlnm.Print_Area" localSheetId="6">'6.퇴직금(적립,DB)'!$B$3:$AB$25</x:definedName>
  </x:definedNames>
  <x:calcPr xmlns:mc="http://schemas.openxmlformats.org/markup-compatibility/2006" xmlns:hs="http://schemas.haansoft.com/office/spreadsheet/8.0" mc:Ignorable="hs" hs:hclCalcId="904"/>
</x:workbook>
</file>

<file path=xl/comments1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USER</x:author>
  </x:authors>
  <x:commentList>
    <x:comment ref="K3:K3" authorId="0">
      <x:text>
        <x:r>
          <x:rPr>
            <x:rFont val="Tahoma"/>
            <x:sz val="9"/>
            <x:color rgb="ff000000"/>
            <x:b val="1"/>
          </x:rPr>
          <x:t>user:</x:t>
        </x:r>
        <x:r>
          <x:rPr>
            <x:rFont val="Tahoma"/>
            <x:sz val="9"/>
            <x:color rgb="ff000000"/>
          </x:rPr>
          <x:t xml:space="preserve">
2017</x:t>
        </x:r>
        <x:r>
          <x:rPr>
            <x:rFont val="돋움"/>
            <x:sz val="9"/>
            <x:color rgb="ff000000"/>
          </x:rPr>
          <x:t>년</x:t>
        </x:r>
        <x:r>
          <x:rPr>
            <x:rFont val="Tahoma"/>
            <x:sz val="9"/>
            <x:color rgb="ff000000"/>
          </x:rPr>
          <x:t xml:space="preserve"> 2</x:t>
        </x:r>
        <x:r>
          <x:rPr>
            <x:rFont val="돋움"/>
            <x:sz val="9"/>
            <x:color rgb="ff000000"/>
          </x:rPr>
          <x:t>월에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지급하는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연차수당을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입력한다</x:t>
        </x:r>
        <x:r>
          <x:rPr>
            <x:rFont val="Tahoma"/>
            <x:sz val="9"/>
            <x:color rgb="ff000000"/>
          </x:rPr>
          <x:t xml:space="preserve">.
</x:t>
        </x:r>
      </x:text>
    </x:comment>
  </x:commentList>
</x:comments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<x:sst xmlns:r="http://schemas.openxmlformats.org/officeDocument/2006/relationships" xmlns:c="http://schemas.openxmlformats.org/drawingml/2006/chart" xmlns:x="http://schemas.openxmlformats.org/spreadsheetml/2006/main" count="192" uniqueCount="141">
  <x:si>
    <x:t>퇴직 전 1년 비월정 임금</x:t>
  </x:si>
  <x:si>
    <x:t>퇴직 전 3개월 월정 임금</x:t>
  </x:si>
  <x:si>
    <x:t>퇴직 전 3개월 임금 합계</x:t>
  </x:si>
  <x:si>
    <x:t>연차수당
지급액
=ⓖ×ⓗ</x:t>
  </x:si>
  <x:si>
    <x:t>ⓑ통상임금산정기준시간 수</x:t>
  </x:si>
  <x:si>
    <x:t>2019학년도
10월~2월</x:t>
  </x:si>
  <x:si>
    <x:t>ⓒ통상
임금/시
=ⓐ/ⓑ</x:t>
  </x:si>
  <x:si>
    <x:t>1일통상
임금
ⓒ×8시간</x:t>
  </x:si>
  <x:si>
    <x:t>2019학년도
3월~9월</x:t>
  </x:si>
  <x:si>
    <x:t xml:space="preserve">※ 경기도교육청 교육실무직원 취업규칙 제58조(병가) ④ 질병이나 부상으로 인한 지참, 조퇴 및 외출은 직종별 소정근로시간에 해당하는 시간을 병가 1일로 계산하고, 연간 21일까지는 유급으로 한다. </x:t>
  </x:si>
  <x:si>
    <x:t>비고</x:t>
  </x:si>
  <x:si>
    <x:t>구분</x:t>
  </x:si>
  <x:si>
    <x:t>이름</x:t>
  </x:si>
  <x:si>
    <x:t>성 명</x:t>
  </x:si>
  <x:si>
    <x:t>직</x:t>
  </x:si>
  <x:si>
    <x:t xml:space="preserve"> </x:t>
  </x:si>
  <x:si>
    <x:t xml:space="preserve"> 교육공무직원 퇴직금 산출 내역(DC)</x:t>
  </x:si>
  <x:si>
    <x:t>본봉</x:t>
  </x:si>
  <x:si>
    <x:t>기준일</x:t>
  </x:si>
  <x:si>
    <x:t>계</x:t>
  </x:si>
  <x:si>
    <x:t>년</x:t>
  </x:si>
  <x:si>
    <x:t>합계</x:t>
  </x:si>
  <x:si>
    <x:t>No.</x:t>
  </x:si>
  <x:si>
    <x:t>1년</x:t>
  </x:si>
  <x:si>
    <x:t>시작일</x:t>
  </x:si>
  <x:si>
    <x:t>ⓐ 계</x:t>
  </x:si>
  <x:si>
    <x:t>16일</x:t>
  </x:si>
  <x:si>
    <x:t>31년</x:t>
  </x:si>
  <x:si>
    <x:t>19일</x:t>
  </x:si>
  <x:si>
    <x:t>4년</x:t>
  </x:si>
  <x:si>
    <x:t>14일</x:t>
  </x:si>
  <x:si>
    <x:t>2년</x:t>
  </x:si>
  <x:si>
    <x:t>연가</x:t>
  </x:si>
  <x:si>
    <x:t>21일</x:t>
  </x:si>
  <x:si>
    <x:t>지급액</x:t>
  </x:si>
  <x:si>
    <x:t>20일</x:t>
  </x:si>
  <x:si>
    <x:t>급식비</x:t>
  </x:si>
  <x:si>
    <x:t>11년</x:t>
  </x:si>
  <x:si>
    <x:t>직명</x:t>
  </x:si>
  <x:si>
    <x:t>7년</x:t>
  </x:si>
  <x:si>
    <x:t>3년</x:t>
  </x:si>
  <x:si>
    <x:t>21년</x:t>
  </x:si>
  <x:si>
    <x:t>병가</x:t>
  </x:si>
  <x:si>
    <x:t>19년</x:t>
  </x:si>
  <x:si>
    <x:t>12일</x:t>
  </x:si>
  <x:si>
    <x:t>17년</x:t>
  </x:si>
  <x:si>
    <x:t>5년</x:t>
  </x:si>
  <x:si>
    <x:t>13년</x:t>
  </x:si>
  <x:si>
    <x:t>17일</x:t>
  </x:si>
  <x:si>
    <x:t>회계</x:t>
  </x:si>
  <x:si>
    <x:t>ⓐ계</x:t>
  </x:si>
  <x:si>
    <x:t>22일</x:t>
  </x:si>
  <x:si>
    <x:t>9년</x:t>
  </x:si>
  <x:si>
    <x:t>24일</x:t>
  </x:si>
  <x:si>
    <x:t>23일</x:t>
  </x:si>
  <x:si>
    <x:t>15일</x:t>
  </x:si>
  <x:si>
    <x:t>25일</x:t>
  </x:si>
  <x:si>
    <x:t>15년</x:t>
  </x:si>
  <x:si>
    <x:t>18일</x:t>
  </x:si>
  <x:si>
    <x:t>13일</x:t>
  </x:si>
  <x:si>
    <x:t>ⓙ퇴직금
총액
=max
(ⓔ,ⓕ)×ⓖ</x:t>
  </x:si>
  <x:si>
    <x:t>ⓒ퇴직 전
3개월
보수 합계
=ⓐ+ⓑ</x:t>
  </x:si>
  <x:si>
    <x:t>임금총액에서 맞춤형복지비, 가족수당, 자녀학비보조수당을 제외하고 교육공무직원에게 지급된 임금 총액을 입력한다.</x:t>
  </x:si>
  <x:si>
    <x:t>ⓕ
1일
통상
임금</x:t>
  </x:si>
  <x:si>
    <x:t>1일 평균 임금</x:t>
  </x:si>
  <x:si>
    <x:t>통상임금 해당 수당</x:t>
  </x:si>
  <x:si>
    <x:t>ⓑ
=계×3/12</x:t>
  </x:si>
  <x:si>
    <x:t>사서
수당
특기적성</x:t>
  </x:si>
  <x:si>
    <x:t>ⓖ 계속
근로년수</x:t>
  </x:si>
  <x:si>
    <x:t>1년 미만
일수</x:t>
  </x:si>
  <x:si>
    <x:t>ⓔ
1일
평균
임금</x:t>
  </x:si>
  <x:si>
    <x:t>장기근무
가산금</x:t>
  </x:si>
  <x:si>
    <x:t>휴일근무
수    당</x:t>
  </x:si>
  <x:si>
    <x:t>정  액
급식비</x:t>
  </x:si>
  <x:si>
    <x:t>연장근로
가산금</x:t>
  </x:si>
  <x:si>
    <x:t>1시간
통상임금</x:t>
  </x:si>
  <x:si>
    <x:t>ⓗ이미
적립된
퇴직금</x:t>
  </x:si>
  <x:si>
    <x:t>영양사
면허가산
수당</x:t>
  </x:si>
  <x:si>
    <x:t>정  기
상여금</x:t>
  </x:si>
  <x:si>
    <x:t>업무.사서
수당</x:t>
  </x:si>
  <x:si>
    <x:t>위험
(관리)
수당</x:t>
  </x:si>
  <x:si>
    <x:t>근속수당
시간외수당</x:t>
  </x:si>
  <x:si>
    <x:t>㉠
일할
기준액</x:t>
  </x:si>
  <x:si>
    <x:t>연차유급휴가 산정일수</x:t>
  </x:si>
  <x:si>
    <x:t>ⓒ보상
=ⓐ-ⓑ</x:t>
  </x:si>
  <x:si>
    <x:t>위험
근무
수당</x:t>
  </x:si>
  <x:si>
    <x:t>ⓖ보상
일수
=ⓒ-ⓕ</x:t>
  </x:si>
  <x:si>
    <x:t>ⓗ
통상
임금
/일</x:t>
  </x:si>
  <x:si>
    <x:t>□ 근속수당 지급액</x:t>
  </x:si>
  <x:si>
    <x:t>직무
수당/보전금</x:t>
  </x:si>
  <x:si>
    <x:t>연장근로
수  당</x:t>
  </x:si>
  <x:si>
    <x:t>면허
가산
수 당</x:t>
  </x:si>
  <x:si>
    <x:t>□ 초과근무수당</x:t>
  </x:si>
  <x:si>
    <x:t>2022년
1월~2월</x:t>
  </x:si>
  <x:si>
    <x:t>ⓘ이번에
적립할
퇴직금
=ⓙ-ⓗ</x:t>
  </x:si>
  <x:si>
    <x:t>ⓓ
퇴직 전
3개월
일수
(日數)</x:t>
  </x:si>
  <x:si>
    <x:t>연  간  임  금  총  액</x:t>
  </x:si>
  <x:si>
    <x:t>㉡
근무일수 구분</x:t>
  </x:si>
  <x:si>
    <x:t xml:space="preserve">2024.3.1기준
</x:t>
  </x:si>
  <x:si>
    <x:t>정기
상여금</x:t>
  </x:si>
  <x:si>
    <x:t>ⓒ수당(시)</x:t>
  </x:si>
  <x:si>
    <x:t>ⓔ수당계</x:t>
  </x:si>
  <x:si>
    <x:t>방중비근무</x:t>
  </x:si>
  <x:si>
    <x:t>2024학년도</x:t>
  </x:si>
  <x:si>
    <x:t>ⓐ초과(시간)</x:t>
  </x:si>
  <x:si>
    <x:t>ⓑ
사용</x:t>
  </x:si>
  <x:si>
    <x:t>연차
수당</x:t>
  </x:si>
  <x:si>
    <x:t>급여(본봉)</x:t>
  </x:si>
  <x:si>
    <x:t>ⓓ
유급</x:t>
  </x:si>
  <x:si>
    <x:t>2020학년도</x:t>
  </x:si>
  <x:si>
    <x:t>수정 일자</x:t>
  </x:si>
  <x:si>
    <x:t>근속수당</x:t>
  </x:si>
  <x:si>
    <x:t>계
㉠×㉡</x:t>
  </x:si>
  <x:si>
    <x:t>ⓑ초과(분)</x:t>
  </x:si>
  <x:si>
    <x:t>ⓓ수당(분)</x:t>
  </x:si>
  <x:si>
    <x:t>2023학년도</x:t>
  </x:si>
  <x:si>
    <x:t>근무연수</x:t>
  </x:si>
  <x:si>
    <x:t>정액
급식비</x:t>
  </x:si>
  <x:si>
    <x:t>ⓔ
사용</x:t>
  </x:si>
  <x:si>
    <x:t>명 절
휴가비</x:t>
  </x:si>
  <x:si>
    <x:t>ⓐ
사용가능</x:t>
  </x:si>
  <x:si>
    <x:t>명절
휴가비</x:t>
  </x:si>
  <x:si>
    <x:t>시설당직원</x:t>
  </x:si>
  <x:si>
    <x:t xml:space="preserve">연차수당
</x:t>
  </x:si>
  <x:si>
    <x:t>2022학년도</x:t>
  </x:si>
  <x:si>
    <x:t>시설미화원</x:t>
  </x:si>
  <x:si>
    <x:t>위험
수당</x:t>
  </x:si>
  <x:si>
    <x:t>퇴직금 적립액</x:t>
  </x:si>
  <x:si>
    <x:t>□ 연차수당</x:t>
  </x:si>
  <x:si>
    <x:t>□ 통상임금</x:t>
  </x:si>
  <x:si>
    <x:t>야간근로수당</x:t>
  </x:si>
  <x:si>
    <x:t>근무년수</x:t>
  </x:si>
  <x:si>
    <x:t>방중근무</x:t>
  </x:si>
  <x:si>
    <x:r>
      <x:t xml:space="preserve">소계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ff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ff0000"/>
            <x:b val="1"/>
          </x:rPr>
        </mc:Fallback>
      </mc:AlternateContent>
      <x:t>(A)</x:t>
    </x:r>
  </x:si>
  <x:si>
    <x:r>
      <x:t>※ 경기도교육청 교육실무직원 취업규칙 제58조(병가) ④ 질병이나 부상으로 인한 지참, 조퇴 및 외출은 직종별 소정근로시간에 해당하는 시간을 병가 1일로 계산하고, 연간</x:t>
    </x:r>
    <x:r>
      <x:rPr>
        <x:rFont val="맑은 고딕"/>
        <x:sz val="11"/>
        <x:color rgb="ff000000"/>
        <x:b val="1"/>
      </x:rPr>
      <x:t xml:space="preserve"> 30일까지는 유급</x:t>
    </x:r>
    <x:r>
      <x:rPr>
        <x:rFont val="맑은 고딕"/>
        <x:sz val="11"/>
        <x:color rgb="ff000000"/>
      </x:rPr>
      <x:t xml:space="preserve">으로 한다. 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ff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ff0000"/>
            <x:b val="1"/>
          </x:rPr>
        </mc:Fallback>
      </mc:AlternateContent>
      <x:t xml:space="preserve">2004년 이전 최초임용자는 2004년 3. 1부터 연차발생	</x:t>
    </x:r>
    <x:r>
      <x:rPr>
        <x:rFont val="맑은 고딕"/>
        <x:sz val="11"/>
        <x:color rgb="ff000000"/>
      </x:rPr>
      <x:t xml:space="preserve">						
</x:t>
    </x:r>
  </x:si>
  <x:si>
    <x:t>※ 근로기준법 제18조(단시간근로자의 근로조건) 
③ 4주 동안(4주 미만으로 근로하는 경우에는 그 기간)을 평균하여 1주 동안의 소정근로시간이 15시간 미만인 근로자에 대하여는 제55조(주휴일)와 제60조(연차 유급휴가)를 적용하지 아니한다.  &lt;개정 2008.3.21.&gt;</x:t>
  </x:si>
  <x:si>
    <x:t>연차수당은 2025.2월에 지급하는 연차수당을 입력</x:t>
  </x:si>
  <x:si>
    <x:t>ⓕ무급
=max(ⓔ-ⓓ,0)</x:t>
  </x:si>
  <x:si>
    <x:r>
      <x:t xml:space="preserve">
2024학년도
 적립퇴직금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0000"/>
            <x:b val="1"/>
          </x:rPr>
        </mc:Fallback>
      </mc:AlternateContent>
      <x:t>(B)=(A)*1/12</x:t>
    </x:r>
  </x:si>
  <x:si>
    <x:t>&lt;통상임금 산정 변경 알림(2014-04-07 에듀메신저, 학교현장지원과 박효실, 본청 노무사 답변) &gt;</x:t>
  </x:si>
  <x:si>
    <x:r>
      <x:t xml:space="preserve">명절휴가비
</x:t>
    </x:r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</x:si>
</x:sst>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0">
    <x:numFmt numFmtId="164" formatCode="####&quot;학년도 교육공무직원 퇴직금 적립 내역&quot;"/>
    <x:numFmt numFmtId="165" formatCode="#,##0_);[Red]\(#,##0\)"/>
    <x:numFmt numFmtId="166" formatCode="###&quot;일&quot;"/>
    <x:numFmt numFmtId="167" formatCode="#,##0.00_);[Red]\(#,##0.00\)"/>
    <x:numFmt numFmtId="168" formatCode="####&quot;학&quot;&quot;년&quot;&quot;도&quot;"/>
    <x:numFmt numFmtId="169" formatCode="yyyy\/mm"/>
    <x:numFmt numFmtId="170" formatCode="0&quot;년&quot;"/>
    <x:numFmt numFmtId="171" formatCode="&quot;□ &quot;####&quot;학년도 연차수당&quot;"/>
    <x:numFmt numFmtId="172" formatCode="0&quot;일&quot;"/>
    <x:numFmt numFmtId="173" formatCode="0.0&quot;일&quot;"/>
  </x:numFmts>
  <x:fonts count="38"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00"/>
        </x:font>
      </mc:Fallback>
    </mc:AlternateConte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4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4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8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8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999999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999999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ffffff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ffff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굴림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함초롬바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함초롬바탕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함초롬바탕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함초롬바탕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7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7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</x:font>
      </mc:Fallback>
    </mc:AlternateContent>
    <x:font>
      <x:name val="맑은 고딕"/>
      <x:sz val="11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8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8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8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8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2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2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6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6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4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4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12"/>
          <x:color rgb="ff0059ff"/>
          <x:b val="1"/>
          <hs:size val="100"/>
          <hs:ratio val="100"/>
          <hs:spacing val="0"/>
          <hs:offset val="0"/>
        </x:font>
      </mc:Choice>
      <mc:Fallback>
        <x:font>
          <x:name val="굴림"/>
          <x:sz val="12"/>
          <x:color rgb="ff0059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8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8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4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4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ffff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ffff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Tahoma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Tahoma"/>
          <x:sz val="9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Tahoma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Tahoma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9"/>
          <x:color rgb="ff000000"/>
        </x:font>
      </mc:Fallback>
    </mc:AlternateContent>
  </x:fonts>
  <x:fills count="23">
    <x:fill>
      <x:patternFill patternType="none"/>
    </x:fill>
    <x:fill>
      <x:patternFill patternType="gray125"/>
    </x:fill>
    <x:fill>
      <x:patternFill patternType="solid">
        <x:fgColor rgb="ff193657"/>
        <x:bgColor indexed="64"/>
      </x:patternFill>
    </x:fill>
    <x:fill>
      <x:patternFill patternType="solid">
        <x:fgColor rgb="ffb2b2b2"/>
        <x:bgColor indexed="64"/>
      </x:patternFill>
    </x:fill>
    <x:fill>
      <x:patternFill patternType="solid">
        <x:fgColor rgb="ff7f7f7f"/>
        <x:bgColor indexed="64"/>
      </x:patternFill>
    </x:fill>
    <x:fill>
      <x:patternFill patternType="solid">
        <x:fgColor rgb="ffdfeaf5"/>
        <x:bgColor indexed="64"/>
      </x:patternFill>
    </x:fill>
    <x:fill>
      <x:patternFill patternType="solid">
        <x:fgColor rgb="ffd5c9a2"/>
        <x:bgColor indexed="64"/>
      </x:patternFill>
    </x:fill>
    <x:fill>
      <x:patternFill patternType="solid">
        <x:fgColor rgb="ff999999"/>
        <x:bgColor indexed="64"/>
      </x:patternFill>
    </x:fill>
    <x:fill>
      <x:patternFill patternType="solid">
        <x:fgColor rgb="ffc5d6ed"/>
        <x:bgColor indexed="64"/>
      </x:patternFill>
    </x:fill>
    <x:fill>
      <x:patternFill patternType="solid">
        <x:fgColor rgb="ff437fc1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f9edf5"/>
        <x:bgColor indexed="64"/>
      </x:patternFill>
    </x:fill>
    <x:fill>
      <x:patternFill patternType="solid">
        <x:fgColor rgb="fff4e5b2"/>
        <x:bgColor indexed="64"/>
      </x:patternFill>
    </x:fill>
    <x:fill>
      <x:patternFill patternType="solid">
        <x:fgColor rgb="fffaf3db"/>
        <x:bgColor indexed="64"/>
      </x:patternFill>
    </x:fill>
    <x:fill>
      <x:patternFill patternType="solid">
        <x:fgColor rgb="ffcdf2e4"/>
        <x:bgColor indexed="64"/>
      </x:patternFill>
    </x:fill>
    <x:fill>
      <x:patternFill patternType="solid">
        <x:fgColor rgb="ff2d2d89"/>
        <x:bgColor indexed="64"/>
      </x:patternFill>
    </x:fill>
    <x:fill>
      <x:patternFill patternType="solid">
        <x:fgColor rgb="ff1919ff"/>
        <x:bgColor indexed="64"/>
      </x:patternFill>
    </x:fill>
    <x:fill>
      <x:patternFill patternType="solid">
        <x:fgColor rgb="ffffceb0"/>
        <x:bgColor indexed="64"/>
      </x:patternFill>
    </x:fill>
    <x:fill>
      <x:patternFill patternType="solid">
        <x:fgColor rgb="ff92d050"/>
        <x:bgColor indexed="64"/>
      </x:patternFill>
    </x:fill>
    <x:fill>
      <x:patternFill patternType="solid">
        <x:fgColor rgb="fffff7cc"/>
        <x:bgColor indexed="64"/>
      </x:patternFill>
    </x:fill>
    <x:fill>
      <x:patternFill patternType="solid">
        <x:fgColor rgb="ffeff3fb"/>
        <x:bgColor indexed="64"/>
      </x:patternFill>
    </x:fill>
    <x:fill>
      <x:patternFill patternType="solid">
        <x:fgColor rgb="ff214368"/>
        <x:bgColor indexed="64"/>
      </x:patternFill>
    </x:fill>
  </x:fills>
  <x:borders count="38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 style="double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double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>
        <x:color auto="1"/>
      </x:top>
      <x:bottom style="hair">
        <x:color auto="1"/>
      </x:bottom>
    </x:border>
    <x:border>
      <x:left style="medium">
        <x:color auto="1"/>
      </x:left>
      <x:right style="medium">
        <x:color auto="1"/>
      </x:right>
      <x:top style="hair">
        <x:color auto="1"/>
      </x:top>
      <x:bottom style="hair">
        <x:color auto="1"/>
      </x:bottom>
    </x:border>
    <x:border>
      <x:left style="medium">
        <x:color auto="1"/>
      </x:left>
      <x:right style="medium">
        <x:color auto="1"/>
      </x:right>
      <x:top style="hair">
        <x:color auto="1"/>
      </x:top>
      <x:bottom style="medium">
        <x:color auto="1"/>
      </x:bottom>
    </x:border>
    <x:border>
      <x:left style="medium"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>
        <x:color auto="1"/>
      </x:right>
      <x:top>
        <x:color rgb="ff000000"/>
      </x:top>
      <x:bottom style="hair">
        <x:color auto="1"/>
      </x:bottom>
    </x:border>
    <x:border>
      <x:left style="medium">
        <x:color auto="1"/>
      </x:left>
      <x:right>
        <x:color auto="1"/>
      </x:right>
      <x:top style="hair">
        <x:color auto="1"/>
      </x:top>
      <x:bottom style="hair">
        <x:color auto="1"/>
      </x:bottom>
    </x:border>
    <x:border>
      <x:left style="medium">
        <x:color auto="1"/>
      </x:left>
      <x:right>
        <x:color auto="1"/>
      </x:right>
      <x:top style="hair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 style="double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double"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thin">
        <x:color auto="1"/>
      </x:bottom>
    </x:border>
  </x:borders>
  <x:cellStyleXfs count="3">
    <x:xf numFmtId="0" fontId="0" fillId="0" borderId="0">
      <x:alignment horizontal="general" vertical="center"/>
    </x:xf>
    <x:xf numFmtId="41" fontId="0" fillId="0" borderId="0" applyFont="1" applyFill="1" applyBorder="1" applyAlignment="1" applyProtection="1">
      <x:alignment horizontal="general" vertical="center"/>
    </x:xf>
    <x:xf numFmtId="0" fontId="0" fillId="0" borderId="0">
      <x:alignment horizontal="general" vertical="center"/>
    </x:xf>
  </x:cellStyleXfs>
  <x:cellXfs count="241">
    <x:xf numFmtId="0" fontId="0" fillId="0" borderId="0" xfId="0" applyNumberFormat="1">
      <x:alignment horizontal="general" vertical="center"/>
    </x:xf>
    <x:xf numFmtId="0" fontId="0" fillId="0" borderId="0" xfId="0" applyNumberFormat="1">
      <x:alignment horizontal="general" vertical="center"/>
    </x:xf>
    <x:xf numFmtId="0" fontId="0" fillId="0" borderId="0" xfId="0" applyNumberFormat="1">
      <x:alignment horizontal="general" vertical="center"/>
    </x:xf>
    <x:xf numFmtId="0" fontId="0" fillId="0" borderId="0" xfId="0" applyNumberFormat="1">
      <x:alignment horizontal="general" vertical="center"/>
    </x:xf>
    <x:xf numFmtId="0" fontId="6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Border="1" applyAlignment="1">
          <x:alignment horizontal="center" vertical="center"/>
        </x:xf>
      </mc:Fallback>
    </mc:AlternateContent>
    <x:xf numFmtId="0" fontId="7" fillId="2" borderId="1" xfId="0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" xfId="0" applyNumberFormat="1" applyFont="1" applyFill="1" applyBorder="1" applyAlignment="1">
          <x:alignment horizontal="center" vertical="center"/>
        </x:xf>
      </mc:Fallback>
    </mc:AlternateContent>
    <x:xf numFmtId="0" fontId="6" fillId="4" borderId="1" xfId="0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4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1" xfId="0" applyNumberFormat="1" applyFont="1" applyFill="1" applyBorder="1" applyAlignment="1">
          <x:alignment horizontal="center" vertical="center"/>
        </x:xf>
      </mc:Fallback>
    </mc:AlternateContent>
    <x:xf numFmtId="0" fontId="6" fillId="4" borderId="1" xfId="0" applyNumberFormat="1" applyFont="1" applyFill="1" applyBorder="1" applyAlignment="1" applyProtection="1">
      <x:alignment horizontal="general" vertical="center" shrinkToFit="1"/>
    </x:xf>
    <x:xf numFmtId="0" fontId="6" fillId="4" borderId="1" xfId="0" applyNumberFormat="1" applyFont="1" applyFill="1" applyBorder="1" applyAlignment="1" applyProtection="1">
      <x:alignment horizontal="general" vertical="center" shrinkToFit="1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5" borderId="1" xfId="0" applyNumberFormat="1" applyFont="1" applyFill="1" applyBorder="1" applyAlignment="1" applyProtection="1" hs:applyExtension="1">
          <x:alignment horizontal="right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5" borderId="1" xfId="0" applyNumberFormat="1" applyFont="1" applyFill="1" applyBorder="1" applyAlignment="1" applyProtection="1">
          <x:alignment horizontal="right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0" borderId="1" xfId="0" applyNumberFormat="1" applyFont="1" applyFill="1" applyBorder="1" applyAlignment="1" applyProtection="1" hs:applyExtension="1">
          <x:alignment horizontal="right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0" borderId="1" xfId="0" applyNumberFormat="1" applyFont="1" applyFill="1" applyBorder="1" applyAlignment="1" applyProtection="1">
          <x:alignment horizontal="right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6" fillId="0" borderId="1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6" fillId="0" borderId="1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6" fillId="0" borderId="1" xfId="0" applyNumberFormat="1" applyFont="1" applyFill="1" applyBorder="1" applyAlignment="1" applyProtection="1" hs:applyExtension="1">
          <x:alignment horizontal="right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6" fillId="0" borderId="1" xfId="0" applyNumberFormat="1" applyFont="1" applyFill="1" applyBorder="1" applyAlignment="1" applyProtection="1">
          <x:alignment horizontal="right" vertical="center" shrinkToFit="1"/>
        </x:xf>
      </mc:Fallback>
    </mc:AlternateContent>
    <x:xf numFmtId="0" fontId="0" fillId="0" borderId="0" xfId="0" applyNumberForma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Fill="1" applyBorder="1" applyAlignment="1" applyProtection="1">
          <x:alignment horizontal="center" vertical="center" shrinkToFit="1"/>
        </x:xf>
      </mc:Fallback>
    </mc:AlternateContent>
    <x:xf numFmtId="0" fontId="0" fillId="0" borderId="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5" fontId="6" fillId="0" borderId="1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0" borderId="1" xfId="0" applyNumberFormat="1" applyFont="1" applyFill="1" applyBorder="1" applyAlignment="1" applyProtection="1">
          <x:alignment horizontal="right" vertical="center"/>
        </x:xf>
      </mc:Fallback>
    </mc:AlternateContent>
    <x:xf numFmtId="0" fontId="6" fillId="0" borderId="0" xfId="0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Fill="1" applyBorder="1" applyAlignment="1" applyProtection="1">
          <x:alignment horizontal="center" vertical="center" wrapText="1"/>
        </x:xf>
      </mc:Fallback>
    </mc:AlternateContent>
    <x:xf numFmtId="0" fontId="8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0" applyNumberFormat="1" applyFont="1" applyFill="1" applyBorder="1" applyAlignment="1" applyProtection="1">
          <x:alignment horizontal="center" vertical="center" wrapText="1"/>
        </x:xf>
      </mc:Fallback>
    </mc:AlternateContent>
    <x:xf numFmtId="165" fontId="6" fillId="0" borderId="1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1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1" xfId="0" applyNumberFormat="1" applyFont="1" applyFill="1" applyBorder="1" applyAlignment="1">
          <x:alignment horizontal="center" vertical="center"/>
        </x:xf>
      </mc:Fallback>
    </mc:AlternateContent>
    <x:xf numFmtId="165" fontId="6" fillId="0" borderId="1" xfId="0" applyNumberFormat="1" applyFont="1" applyFill="1" applyBorder="1" applyAlignment="1" applyProtection="1">
      <x:alignment horizontal="general" vertical="center"/>
    </x:xf>
    <x:xf numFmtId="165" fontId="10" fillId="0" borderId="1" xfId="0" applyNumberFormat="1" applyFont="1" applyFill="1" applyBorder="1" applyAlignment="1" applyProtection="1">
      <x:alignment horizontal="general" vertical="center"/>
    </x:xf>
    <x:xf numFmtId="0" fontId="6" fillId="4" borderId="1" xfId="0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4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9" fontId="6" fillId="4" borderId="1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9" fontId="6" fillId="4" borderId="1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9" fontId="6" fillId="4" borderId="1" xfId="0" applyNumberFormat="1" applyFont="1" applyFill="1" applyBorder="1" applyAlignment="1" applyProtection="1" hs:applyExtension="1">
          <x:alignment horizontal="right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9" fontId="6" fillId="4" borderId="1" xfId="0" applyNumberFormat="1" applyFont="1" applyFill="1" applyBorder="1" applyAlignment="1" applyProtection="1">
          <x:alignment horizontal="right" vertical="center" shrinkToFit="1"/>
        </x:xf>
      </mc:Fallback>
    </mc:AlternateContent>
    <x:xf numFmtId="0" fontId="6" fillId="7" borderId="2" xfId="0" applyNumberFormat="1" applyFont="1" applyFill="1" applyBorder="1" applyAlignment="1" applyProtection="1">
      <x:alignment horizontal="general" vertical="center" shrinkToFit="1"/>
    </x:xf>
    <x:xf numFmtId="0" fontId="6" fillId="7" borderId="3" xfId="0" applyNumberFormat="1" applyFont="1" applyFill="1" applyBorder="1" applyAlignment="1" applyProtection="1">
      <x:alignment horizontal="general" vertical="center" shrinkToFit="1"/>
    </x:xf>
    <mc:AlternateContent xmlns:mc="http://schemas.openxmlformats.org/markup-compatibility/2006">
      <mc:Choice xmlns:hs="http://schemas.haansoft.com/office/spreadsheet/8.0" Requires="hs">
        <x:xf numFmtId="0" fontId="6" fillId="7" borderId="1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7" borderId="1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7" borderId="1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7" borderId="1" xfId="0" applyNumberFormat="1" applyFont="1" applyFill="1" applyBorder="1" applyAlignment="1" applyProtection="1">
          <x:alignment horizontal="center" vertical="center" shrinkToFit="1"/>
        </x:xf>
      </mc:Fallback>
    </mc:AlternateContent>
    <x:xf numFmtId="0" fontId="6" fillId="7" borderId="1" xfId="0" applyNumberFormat="1" applyFont="1" applyFill="1" applyBorder="1" applyAlignment="1" applyProtection="1">
      <x:alignment horizontal="general" vertical="center" shrinkToFit="1"/>
    </x:xf>
    <x:xf numFmtId="0" fontId="6" fillId="0" borderId="0" xfId="0" applyNumberFormat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Fill="1" applyBorder="1" applyAlignment="1">
          <x:alignment horizontal="center" vertical="center"/>
        </x:xf>
      </mc:Fallback>
    </mc:AlternateContent>
    <x:xf numFmtId="165" fontId="6" fillId="0" borderId="1" xfId="0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5" fontId="6" fillId="0" borderId="1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0" borderId="1" xfId="0" applyNumberFormat="1" applyFont="1" applyFill="1" applyBorder="1" applyAlignment="1">
          <x:alignment horizontal="right" vertical="center"/>
        </x:xf>
      </mc:Fallback>
    </mc:AlternateContent>
    <x:xf numFmtId="0" fontId="8" fillId="0" borderId="0" xfId="0" applyNumberFormat="1" applyFont="1">
      <x:alignment horizontal="general" vertical="center"/>
    </x:xf>
    <x:xf numFmtId="0" fontId="6" fillId="0" borderId="1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3" borderId="1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3" borderId="1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3" borderId="1" xfId="0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0" borderId="1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0" borderId="1" xfId="0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2" fontId="6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72" fontId="6" fillId="0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1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1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4" borderId="1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4" borderId="1" xfId="0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3" borderId="1" xfId="0" applyNumberFormat="1" applyFont="1" applyFill="1" applyBorder="1" applyAlignment="1" applyProtection="1" hs:applyExtension="1">
          <x:alignment horizontal="right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3" borderId="1" xfId="0" applyNumberFormat="1" applyFont="1" applyFill="1" applyBorder="1" applyAlignment="1" applyProtection="1">
          <x:alignment horizontal="right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4" borderId="1" xfId="0" applyNumberFormat="1" applyFont="1" applyFill="1" applyBorder="1" applyAlignment="1" applyProtection="1" hs:applyExtension="1">
          <x:alignment horizontal="right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4" borderId="1" xfId="0" applyNumberFormat="1" applyFont="1" applyFill="1" applyBorder="1" applyAlignment="1" applyProtection="1">
          <x:alignment horizontal="right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6" fillId="5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6" fillId="5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3" borderId="1" xfId="0" applyNumberFormat="1" applyFont="1" applyFill="1" applyBorder="1" applyAlignment="1" applyProtection="1" hs:applyExtension="1">
          <x:alignment horizontal="right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3" borderId="1" xfId="0" applyNumberFormat="1" applyFont="1" applyFill="1" applyBorder="1" applyAlignment="1" applyProtection="1">
          <x:alignment horizontal="right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4" xfId="0" applyNumberFormat="1" applyFont="1" applyFill="1" applyBorder="1" applyAlignment="1">
          <x:alignment horizontal="center" vertical="center"/>
        </x:xf>
      </mc:Fallback>
    </mc:AlternateContent>
    <x:xf numFmtId="0" fontId="6" fillId="4" borderId="4" xfId="0" applyNumberFormat="1" applyFont="1" applyFill="1" applyBorder="1">
      <x:alignment horizontal="general" vertical="center"/>
    </x:xf>
    <x:xf numFmtId="0" fontId="6" fillId="4" borderId="4" xfId="0" applyNumberFormat="1" applyFont="1" applyFill="1" applyBorder="1" applyAlignment="1" applyProtection="1">
      <x:alignment horizontal="general" vertical="center" shrinkToFit="1"/>
    </x:xf>
    <mc:AlternateContent xmlns:mc="http://schemas.openxmlformats.org/markup-compatibility/2006">
      <mc:Choice xmlns:hs="http://schemas.haansoft.com/office/spreadsheet/8.0" Requires="hs">
        <x:xf numFmtId="165" fontId="6" fillId="7" borderId="5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7" borderId="5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7" borderId="3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7" borderId="3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7" borderId="5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7" borderId="5" xfId="0" applyNumberFormat="1" applyFont="1" applyFill="1" applyBorder="1" applyAlignment="1" applyProtection="1">
          <x:alignment horizontal="center" vertical="center" shrinkToFit="1"/>
        </x:xf>
      </mc:Fallback>
    </mc:AlternateContent>
    <x:xf numFmtId="165" fontId="6" fillId="0" borderId="0" xfId="0" applyNumberFormat="1" applyFont="1">
      <x:alignment horizontal="general" vertical="center"/>
    </x:xf>
    <x:xf numFmtId="14" fontId="6" fillId="0" borderId="1" xfId="0" applyNumberFormat="1" applyFont="1" applyFill="1" applyBorder="1" applyAlignment="1" applyProtection="1">
      <x:alignment horizontal="general" vertical="center" shrinkToFit="1"/>
    </x:xf>
    <mc:AlternateContent xmlns:mc="http://schemas.openxmlformats.org/markup-compatibility/2006">
      <mc:Choice xmlns:hs="http://schemas.haansoft.com/office/spreadsheet/8.0" Requires="hs">
        <x:xf numFmtId="165" fontId="6" fillId="8" borderId="1" xfId="0" applyNumberFormat="1" applyFont="1" applyFill="1" applyBorder="1" applyAlignment="1" applyProtection="1" hs:applyExtension="1">
          <x:alignment horizontal="right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8" borderId="1" xfId="0" applyNumberFormat="1" applyFont="1" applyFill="1" applyBorder="1" applyAlignment="1" applyProtection="1">
          <x:alignment horizontal="right" vertical="center" shrinkToFit="1"/>
        </x:xf>
      </mc:Fallback>
    </mc:AlternateContent>
    <x:xf numFmtId="0" fontId="6" fillId="0" borderId="6" xfId="0" applyNumberFormat="1" applyFont="1" applyFill="1" applyBorder="1" applyAlignment="1" applyProtection="1">
      <x:alignment horizontal="left" vertical="top" wrapText="1"/>
    </x:xf>
    <x:xf numFmtId="0" fontId="6" fillId="0" borderId="6" xfId="0" applyNumberFormat="1" applyFont="1" applyFill="1" applyBorder="1" applyAlignment="1" applyProtection="1">
      <x:alignment horizontal="left" vertical="top" wrapText="1" shrinkToFit="1"/>
    </x:xf>
    <mc:AlternateContent xmlns:mc="http://schemas.openxmlformats.org/markup-compatibility/2006">
      <mc:Choice xmlns:hs="http://schemas.haansoft.com/office/spreadsheet/8.0" Requires="hs">
        <x:xf numFmtId="0" fontId="6" fillId="4" borderId="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2" xfId="0" applyNumberFormat="1" applyFont="1" applyFill="1" applyBorder="1" applyAlignment="1" applyProtection="1">
          <x:alignment horizontal="center" vertical="center" wrapText="1"/>
        </x:xf>
      </mc:Fallback>
    </mc:AlternateContent>
    <x:xf numFmtId="0" fontId="6" fillId="4" borderId="7" xfId="0" applyNumberFormat="1" applyFont="1" applyFill="1" applyBorder="1" applyAlignment="1" applyProtection="1">
      <x:alignment horizontal="general" vertical="center" wrapText="1"/>
    </x:xf>
    <x:xf numFmtId="0" fontId="6" fillId="4" borderId="1" xfId="0" applyNumberFormat="1" applyFont="1" applyFill="1" applyBorder="1" applyAlignment="1" applyProtection="1">
      <x:alignment horizontal="general" vertical="center" wrapText="1"/>
    </x:xf>
    <x:xf numFmtId="0" fontId="6" fillId="4" borderId="8" xfId="0" applyNumberFormat="1" applyFont="1" applyFill="1" applyBorder="1" applyAlignment="1" applyProtection="1">
      <x:alignment horizontal="general" vertical="center" wrapText="1"/>
    </x:xf>
    <x:xf numFmtId="0" fontId="6" fillId="4" borderId="5" xfId="0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0" borderId="2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NumberFormat="1" applyFont="1" applyFill="1" applyBorder="1" applyAlignment="1" applyProtection="1">
          <x:alignment horizontal="center" vertical="center" shrinkToFit="1"/>
        </x:xf>
      </mc:Fallback>
    </mc:AlternateContent>
    <x:xf numFmtId="165" fontId="6" fillId="0" borderId="1" xfId="0" applyNumberFormat="1" applyFont="1" applyFill="1" applyBorder="1" applyAlignment="1" applyProtection="1">
      <x:alignment horizontal="general" vertical="center"/>
    </x:xf>
    <x:xf numFmtId="165" fontId="6" fillId="0" borderId="8" xfId="0" applyNumberFormat="1" applyFont="1" applyFill="1" applyBorder="1" applyAlignment="1" applyProtection="1">
      <x:alignment horizontal="general" vertical="center"/>
    </x:xf>
    <x:xf numFmtId="165" fontId="6" fillId="0" borderId="5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1" fillId="9" borderId="7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9" borderId="7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9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9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9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9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9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9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9" borderId="8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9" borderId="8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9" fontId="7" fillId="9" borderId="1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9" fontId="7" fillId="9" borderId="1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9" fontId="7" fillId="9" borderId="1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9" fontId="7" fillId="9" borderId="1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9" borderId="1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9" borderId="1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9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9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9" borderId="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9" borderId="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9" borderId="9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9" borderId="9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9" borderId="4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9" borderId="4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9" borderId="9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9" borderId="9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0" borderId="2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0" borderId="2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9" borderId="10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9" borderId="10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3" borderId="1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3" borderId="1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1" xfId="0" applyNumberFormat="1" applyFont="1" applyFill="1" applyBorder="1" applyAlignment="1" applyProtection="1">
          <x:alignment horizontal="center" vertical="center"/>
        </x:xf>
      </mc:Fallback>
    </mc:AlternateContent>
    <x:xf numFmtId="0" fontId="6" fillId="0" borderId="0" xfId="0" applyNumberFormat="1" applyFont="1" applyFill="1" applyBorder="1" applyAlignment="1" applyProtection="1">
      <x:alignment horizontal="general" vertical="center"/>
    </x:xf>
    <x:xf numFmtId="0" fontId="6" fillId="0" borderId="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9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9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10" borderId="1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10" borderId="1" xfId="0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9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9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7" borderId="3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7" borderId="3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9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9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11" borderId="5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11" borderId="5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2" borderId="1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1200" hs:breakNonLatinWord="breakWord" hs:breakLatinWord="keepWord" hs:condense="0" hs:textAlignment="baseLine"/>
        </x:xf>
      </mc:Choice>
      <mc:Fallback>
        <x:xf numFmtId="0" fontId="6" fillId="12" borderId="1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12" borderId="1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1200" hs:breakNonLatinWord="breakWord" hs:breakLatinWord="keepWord" hs:condense="0" hs:textAlignment="baseLine"/>
        </x:xf>
      </mc:Choice>
      <mc:Fallback>
        <x:xf numFmtId="41" fontId="6" fillId="12" borderId="1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1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1200" hs:breakNonLatinWord="breakWord" hs:breakLatinWord="keepWord" hs:condense="0" hs:textAlignment="baseLine"/>
        </x:xf>
      </mc:Choice>
      <mc:Fallback>
        <x:xf numFmtId="41" fontId="6" fillId="0" borderId="1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9" borderId="9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9" borderId="9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0" xfId="0" applyNumberFormat="1" applyFont="1" applyFill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0" xfId="0" applyNumberFormat="1" applyFont="1" applyFill="1" applyAlignment="1" applyProtection="1">
          <x:alignment horizontal="center" vertical="center"/>
          <x:protection locked="0"/>
        </x:xf>
      </mc:Fallback>
    </mc:AlternateContent>
    <x:xf numFmtId="41" fontId="13" fillId="0" borderId="0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4" fillId="10" borderId="1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0" borderId="1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15" fillId="10" borderId="1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5" fillId="10" borderId="1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15" fillId="10" borderId="14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5" fillId="10" borderId="14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15" fillId="10" borderId="15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5" fillId="10" borderId="1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15" fillId="10" borderId="16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5" fillId="10" borderId="16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10" borderId="17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0" borderId="17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10" borderId="18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0" borderId="18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10" borderId="19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0" borderId="19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10" borderId="2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0" borderId="2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10" borderId="2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0" borderId="2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3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3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2" fontId="6" fillId="14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72" fontId="6" fillId="14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3" fontId="6" fillId="14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73" fontId="6" fillId="14" borderId="1" xfId="0" applyNumberFormat="1" applyFont="1" applyFill="1" applyBorder="1" applyAlignment="1" applyProtection="1">
          <x:alignment horizontal="center" vertical="center"/>
        </x:xf>
      </mc:Fallback>
    </mc:AlternateContent>
    <x:xf numFmtId="0" fontId="12" fillId="0" borderId="0" xfId="0" applyNumberFormat="1" applyFont="1">
      <x:alignment horizontal="general" vertical="center"/>
    </x:xf>
    <x:xf numFmtId="41" fontId="12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5" fontId="6" fillId="10" borderId="1" xfId="0" applyNumberFormat="1" applyFont="1" applyFill="1" applyBorder="1" applyAlignment="1" applyProtection="1" hs:applyExtension="1">
          <x:alignment horizontal="right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10" borderId="1" xfId="0" applyNumberFormat="1" applyFont="1" applyFill="1" applyBorder="1" applyAlignment="1" applyProtection="1">
          <x:alignment horizontal="right" vertical="center" shrinkToFit="1"/>
        </x:xf>
      </mc:Fallback>
    </mc:AlternateContent>
    <x:xf numFmtId="0" fontId="6" fillId="0" borderId="0" xfId="0" applyNumberFormat="1" applyFont="1" applyBorder="1">
      <x:alignment horizontal="general" vertical="center"/>
    </x:xf>
    <x:xf numFmtId="0" fontId="12" fillId="0" borderId="0" xfId="0" applyNumberFormat="1" applyFont="1" applyBorder="1">
      <x:alignment horizontal="general" vertical="center"/>
    </x:xf>
    <x:xf numFmtId="41" fontId="12" fillId="0" borderId="0" xfId="0" applyNumberFormat="1" applyFont="1" applyBorder="1">
      <x:alignment horizontal="general" vertical="center"/>
    </x:xf>
    <x:xf numFmtId="165" fontId="12" fillId="0" borderId="0" xfId="0" applyNumberFormat="1" applyFont="1" applyBorder="1">
      <x:alignment horizontal="general" vertical="center"/>
    </x:xf>
    <x:xf numFmtId="165" fontId="12" fillId="15" borderId="0" xfId="0" applyNumberFormat="1" applyFont="1" applyFill="1" applyBorder="1">
      <x:alignment horizontal="general" vertical="center"/>
    </x:xf>
    <x:xf numFmtId="0" fontId="17" fillId="0" borderId="0" xfId="0" applyNumberFormat="1" applyFont="1" applyBorder="1">
      <x:alignment horizontal="general" vertical="center"/>
    </x:xf>
    <x:xf numFmtId="41" fontId="17" fillId="15" borderId="0" xfId="0" applyNumberFormat="1" applyFont="1" applyFill="1" applyBorder="1">
      <x:alignment horizontal="general" vertical="center"/>
    </x:xf>
    <x:xf numFmtId="41" fontId="6" fillId="0" borderId="0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2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13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13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5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0" borderId="9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0" borderId="9" xfId="0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13" borderId="1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13" borderId="1" xfId="0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13" borderId="22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13" borderId="22" xfId="0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13" borderId="9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13" borderId="9" xfId="0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13" borderId="23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13" borderId="23" xfId="0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0" borderId="1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0" borderId="1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7" fillId="16" borderId="1" xfId="0" applyNumberFormat="1" applyFont="1" applyFill="1" applyBorder="1" applyAlignment="1" applyProtection="1" hs:applyExtension="1">
          <x:alignment horizontal="right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7" fillId="16" borderId="1" xfId="0" applyNumberFormat="1" applyFont="1" applyFill="1" applyBorder="1" applyAlignment="1" applyProtection="1">
          <x:alignment horizontal="right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7" fillId="17" borderId="1" xfId="0" applyNumberFormat="1" applyFont="1" applyFill="1" applyBorder="1" applyAlignment="1" applyProtection="1" hs:applyExtension="1">
          <x:alignment horizontal="right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7" fillId="17" borderId="1" xfId="0" applyNumberFormat="1" applyFont="1" applyFill="1" applyBorder="1" applyAlignment="1" applyProtection="1">
          <x:alignment horizontal="right" vertical="center" shrinkToFit="1"/>
        </x:xf>
      </mc:Fallback>
    </mc:AlternateContent>
    <x:xf numFmtId="0" fontId="20" fillId="18" borderId="1" xfId="0" applyNumberFormat="1" applyFont="1" applyFill="1" applyBorder="1" applyAlignment="1" applyProtection="1">
      <x:alignment horizontal="general" vertical="center" shrinkToFit="1"/>
    </x:xf>
    <mc:AlternateContent xmlns:mc="http://schemas.openxmlformats.org/markup-compatibility/2006">
      <mc:Choice xmlns:hs="http://schemas.haansoft.com/office/spreadsheet/8.0" Requires="hs">
        <x:xf numFmtId="165" fontId="20" fillId="18" borderId="1" xfId="0" applyNumberFormat="1" applyFont="1" applyFill="1" applyBorder="1" applyAlignment="1" applyProtection="1" hs:applyExtension="1">
          <x:alignment horizontal="right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20" fillId="18" borderId="1" xfId="0" applyNumberFormat="1" applyFont="1" applyFill="1" applyBorder="1" applyAlignment="1" applyProtection="1">
          <x:alignment horizontal="right" vertical="center" shrinkToFit="1"/>
        </x:xf>
      </mc:Fallback>
    </mc:AlternateContent>
    <x:xf numFmtId="0" fontId="6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20" fillId="10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10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10" borderId="1" xfId="0" applyNumberFormat="1" applyFont="1" applyFill="1" applyBorder="1" applyAlignment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10" borderId="1" xfId="0" applyNumberFormat="1" applyFont="1" applyFill="1" applyBorder="1" applyAlignment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10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10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2" fillId="10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10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1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4" hs:breakNonLatinWord="breakWord" hs:breakLatinWord="keepWord" hs:condense="0" hs:textAlignment="baseLine"/>
        </x:xf>
      </mc:Choice>
      <mc:Fallback>
        <x:xf numFmtId="0" fontId="12" fillId="0" borderId="1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10" borderId="1" xfId="1" applyNumberFormat="1" applyFont="1" applyFill="1" applyBorder="1" applyAlignment="1" applyProtection="1" hs:applyExtension="1">
          <x:alignment horizontal="center" vertical="center" shrinkToFit="1"/>
          <x:protection locked="0"/>
          <hs:parashape hs:lineSpacingType="betweenLines" hs:lineSpacing="74" hs:breakNonLatinWord="breakWord" hs:breakLatinWord="keepWord" hs:condense="0" hs:textAlignment="baseLine"/>
        </x:xf>
      </mc:Choice>
      <mc:Fallback>
        <x:xf numFmtId="41" fontId="6" fillId="10" borderId="1" xfId="1" applyNumberFormat="1" applyFont="1" applyFill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10" borderId="1" xfId="1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4" hs:breakNonLatinWord="breakWord" hs:breakLatinWord="keepWord" hs:condense="0" hs:textAlignment="baseLine"/>
        </x:xf>
      </mc:Choice>
      <mc:Fallback>
        <x:xf numFmtId="41" fontId="6" fillId="10" borderId="1" xfId="1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10" borderId="1" xfId="1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4" hs:breakNonLatinWord="breakWord" hs:breakLatinWord="keepWord" hs:condense="0" hs:textAlignment="baseLine"/>
        </x:xf>
      </mc:Choice>
      <mc:Fallback>
        <x:xf numFmtId="165" fontId="6" fillId="10" borderId="1" xfId="1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0" borderId="1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4" hs:breakNonLatinWord="breakWord" hs:breakLatinWord="keepWord" hs:condense="0" hs:textAlignment="baseLine"/>
        </x:xf>
      </mc:Choice>
      <mc:Fallback>
        <x:xf numFmtId="0" fontId="6" fillId="10" borderId="1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1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1200" hs:breakNonLatinWord="breakWord" hs:breakLatinWord="keepWord" hs:condense="0" hs:textAlignment="baseLine"/>
        </x:xf>
      </mc:Choice>
      <mc:Fallback>
        <x:xf numFmtId="0" fontId="12" fillId="0" borderId="1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2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1200" hs:breakNonLatinWord="breakWord" hs:breakLatinWord="keepWord" hs:condense="0" hs:textAlignment="baseLine"/>
        </x:xf>
      </mc:Choice>
      <mc:Fallback>
        <x:xf numFmtId="0" fontId="12" fillId="0" borderId="2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19" borderId="1" xfId="1" applyNumberFormat="1" applyFont="1" applyFill="1" applyBorder="1" applyAlignment="1" applyProtection="1" hs:applyExtension="1">
          <x:alignment horizontal="center" vertical="center" shrinkToFit="1"/>
          <x:protection locked="0"/>
          <hs:parashape hs:lineSpacingType="betweenLines" hs:lineSpacing="74" hs:breakNonLatinWord="breakWord" hs:breakLatinWord="keepWord" hs:condense="0" hs:textAlignment="baseLine"/>
        </x:xf>
      </mc:Choice>
      <mc:Fallback>
        <x:xf numFmtId="41" fontId="6" fillId="19" borderId="1" xfId="1" applyNumberFormat="1" applyFont="1" applyFill="1" applyBorder="1" applyAlignment="1" applyProtection="1">
          <x:alignment horizontal="center" vertical="center" shrinkToFit="1"/>
          <x:protection locked="0"/>
        </x:xf>
      </mc:Fallback>
    </mc:AlternateContent>
    <x:xf numFmtId="0" fontId="23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24" fillId="0" borderId="5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4" fillId="0" borderId="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9" borderId="2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9" borderId="2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0" fontId="7" fillId="9" borderId="2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70" fontId="7" fillId="9" borderId="2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0" fontId="7" fillId="9" borderId="2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70" fontId="7" fillId="9" borderId="2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8" fontId="7" fillId="9" borderId="2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8" fontId="7" fillId="9" borderId="2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8" fontId="7" fillId="9" borderId="27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8" fontId="7" fillId="9" borderId="27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13" borderId="2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13" borderId="2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8" fontId="7" fillId="9" borderId="2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8" fontId="7" fillId="9" borderId="2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2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2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13" borderId="2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13" borderId="2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13" borderId="3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13" borderId="3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11" borderId="2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11" borderId="2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10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10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10" borderId="2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10" borderId="2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9" borderId="9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9" borderId="9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9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9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2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29" xfId="0" applyNumberFormat="1" applyFont="1" applyFill="1" applyBorder="1" applyAlignment="1">
          <x:alignment horizontal="center" vertical="center"/>
        </x:xf>
      </mc:Fallback>
    </mc:AlternateContent>
    <x:xf numFmtId="0" fontId="6" fillId="4" borderId="2" xfId="0" applyNumberFormat="1" applyFont="1" applyFill="1" applyBorder="1" applyAlignment="1" applyProtection="1">
      <x:alignment horizontal="general" vertical="center" wrapText="1"/>
    </x:xf>
    <x:xf numFmtId="165" fontId="6" fillId="0" borderId="2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25" fillId="9" borderId="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9" borderId="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19" fillId="0" borderId="1" xfId="0" applyNumberFormat="1" applyFont="1" applyFill="1" applyBorder="1" applyAlignment="1" applyProtection="1" hs:applyExtension="1">
          <x:alignment horizontal="right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9" fillId="0" borderId="1" xfId="0" applyNumberFormat="1" applyFont="1" applyFill="1" applyBorder="1" applyAlignment="1" applyProtection="1">
          <x:alignment horizontal="right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1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1" xfId="0" applyNumberFormat="1" applyFont="1" applyFill="1" applyBorder="1" applyAlignment="1" applyProtection="1">
          <x:alignment horizontal="center" vertical="center" shrinkToFit="1"/>
        </x:xf>
      </mc:Fallback>
    </mc:AlternateContent>
    <x:xf numFmtId="0" fontId="9" fillId="0" borderId="1" xfId="0" applyNumberFormat="1" applyFont="1" applyFill="1" applyBorder="1" applyAlignment="1" applyProtection="1">
      <x:alignment horizontal="general" vertical="center" wrapText="1"/>
    </x:xf>
    <x:xf numFmtId="0" fontId="12" fillId="0" borderId="1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2" fillId="0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0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0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9" borderId="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9" borderId="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9" borderId="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9" borderId="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9" borderId="1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9" borderId="1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0" borderId="3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0" borderId="3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10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10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10" borderId="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10" borderId="4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10" borderId="9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10" borderId="9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10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10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10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10" borderId="1" xfId="0" applyNumberFormat="1" applyFont="1" applyFill="1" applyBorder="1" applyAlignment="1">
          <x:alignment horizontal="center" vertical="center" wrapText="1"/>
        </x:xf>
      </mc:Fallback>
    </mc:AlternateContent>
    <x:xf numFmtId="0" fontId="28" fillId="0" borderId="0" xfId="0" applyNumberFormat="1" applyFont="1" applyAlignment="1">
      <x:alignment horizontal="left" vertical="center" shrinkToFit="1"/>
    </x:xf>
    <x:xf numFmtId="0" fontId="8" fillId="0" borderId="32" xfId="0" applyNumberFormat="1" applyFon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7" fillId="9" borderId="4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9" borderId="4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9" borderId="3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9" borderId="3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9" borderId="34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9" borderId="34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9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9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9" borderId="35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9" borderId="3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9" borderId="36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9" borderId="36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9" borderId="37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9" borderId="37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9" borderId="9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9" borderId="9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9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9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9" fontId="7" fillId="9" borderId="1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9" fontId="7" fillId="9" borderId="1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9" fontId="7" fillId="9" borderId="4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9" fontId="7" fillId="9" borderId="4" xfId="0" applyNumberFormat="1" applyFont="1" applyFill="1" applyBorder="1" applyAlignment="1" applyProtection="1">
          <x:alignment horizontal="center" vertical="center" shrinkToFit="1"/>
        </x:xf>
      </mc:Fallback>
    </mc:AlternateContent>
    <x:xf numFmtId="171" fontId="8" fillId="0" borderId="31" xfId="0" applyNumberFormat="1" applyFont="1" applyFill="1" applyBorder="1" applyAlignment="1" applyProtection="1">
      <x:alignment horizontal="left" vertical="center"/>
    </x:xf>
    <x:xf numFmtId="0" fontId="8" fillId="0" borderId="31" xfId="0" applyNumberFormat="1" applyFon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7" fillId="9" borderId="4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9" borderId="4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9" borderId="9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9" borderId="9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9" borderId="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9" borderId="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9" borderId="5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9" borderId="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29" fillId="21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29" fillId="21" borderId="0" xfId="0" applyNumberFormat="1" applyFont="1" applyFill="1" applyBorder="1" applyAlignment="1" applyProtection="1">
          <x:alignment horizontal="center" vertical="center"/>
        </x:xf>
      </mc:Fallback>
    </mc:AlternateContent>
    <x:xf numFmtId="0" fontId="6" fillId="0" borderId="6" xfId="0" applyNumberFormat="1" applyFont="1" applyFill="1" applyBorder="1" applyAlignment="1" applyProtection="1">
      <x:alignment horizontal="left" vertical="top" wrapText="1"/>
    </x:xf>
    <x:xf numFmtId="0" fontId="6" fillId="0" borderId="6" xfId="0" applyNumberFormat="1" applyFont="1" applyFill="1" applyBorder="1" applyAlignment="1" applyProtection="1">
      <x:alignment horizontal="left" vertical="top" wrapText="1" shrinkToFit="1"/>
    </x:xf>
    <x:xf numFmtId="0" fontId="6" fillId="0" borderId="0" xfId="0" applyNumberFormat="1" applyFont="1" applyFill="1" applyBorder="1" applyAlignment="1" applyProtection="1">
      <x:alignment horizontal="left" vertical="top" wrapText="1"/>
    </x:xf>
    <x:xf numFmtId="0" fontId="6" fillId="0" borderId="0" xfId="0" applyNumberFormat="1" applyFont="1" applyFill="1" applyBorder="1" applyAlignment="1" applyProtection="1">
      <x:alignment horizontal="left" vertical="top" wrapText="1" shrinkToFit="1"/>
    </x:xf>
    <mc:AlternateContent xmlns:mc="http://schemas.openxmlformats.org/markup-compatibility/2006">
      <mc:Choice xmlns:hs="http://schemas.haansoft.com/office/spreadsheet/8.0" Requires="hs">
        <x:xf numFmtId="14" fontId="8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8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30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30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2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2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6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6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1" fillId="9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1" fillId="9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1" fillId="16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1" fillId="16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1" fillId="17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1" fillId="17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17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17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17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17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1" fillId="9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1" fillId="9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9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9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18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18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18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18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5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5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1" xfId="1" applyNumberFormat="1" applyFont="1" applyFill="1" applyBorder="1" applyAlignment="1" applyProtection="1" hs:applyExtension="1">
          <x:alignment horizontal="center" vertical="center" shrinkToFit="1"/>
          <x:protection locked="0"/>
          <hs:parashape hs:lineSpacingType="betweenLines" hs:lineSpacing="74" hs:breakNonLatinWord="breakWord" hs:breakLatinWord="keepWord" hs:condense="0" hs:textAlignment="baseLine"/>
        </x:xf>
      </mc:Choice>
      <mc:Fallback>
        <x:xf numFmtId="41" fontId="6" fillId="0" borderId="1" xfId="1" applyNumberFormat="1" applyFont="1" applyFill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1" xfId="1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4" hs:breakNonLatinWord="breakWord" hs:breakLatinWord="keepWord" hs:condense="0" hs:textAlignment="baseLine"/>
        </x:xf>
      </mc:Choice>
      <mc:Fallback>
        <x:xf numFmtId="41" fontId="6" fillId="0" borderId="1" xfId="1" applyNumberFormat="1" applyFont="1" applyFill="1" applyBorder="1" applyAlignment="1" applyProtection="1">
          <x:alignment horizontal="center" vertical="center" shrinkToFit="1"/>
        </x:xf>
      </mc:Fallback>
    </mc:AlternateContent>
  </x:cellXfs>
  <x:cellStyles count="3">
    <x:cellStyle name="표준" xfId="0" builtinId="0"/>
    <x:cellStyle name="콤마[0]" xfId="1" builtinId="6" iLevel="0"/>
    <x:cellStyle name="표준_Sheet1" xfId="2"/>
  </x:cellStyles>
  <x:dxfs count="15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x:dxf>
      <x:fill>
        <x:patternFill patternType="solid">
          <x:fgColor indexed="65"/>
          <x:bgColor rgb="ffd5c9a2"/>
        </x:patternFill>
      </x:fill>
    </x:dxf>
    <x:dxf>
      <x:fill>
        <x:patternFill patternType="solid">
          <x:fgColor indexed="65"/>
          <x:bgColor rgb="ffd5c9a2"/>
        </x:patternFill>
      </x:fill>
    </x:dxf>
    <x:dxf>
      <x:fill>
        <x:patternFill patternType="solid">
          <x:fgColor indexed="65"/>
          <x:bgColor rgb="ffd5c9a2"/>
        </x:patternFill>
      </x:fill>
    </x:dxf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drawings/drawing5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fLocksText="1" fPublished="0">
      <xdr:nvSpPr>
        <xdr:cNvPr id="2" name="아래쪽 화살표 2"/>
        <xdr:cNvSpPr/>
      </xdr:nvSpPr>
      <xdr:spPr>
        <a:xfrm>
          <a:off x="0" y="0"/>
          <a:ext cx="0" cy="0"/>
        </a:xfrm>
        <a:prstGeom prst="downArrow">
          <a:avLst>
            <a:gd name="adj1" fmla="val 50000"/>
            <a:gd name="adj2" fmla="val 50000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overflow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fLocksText="1" fPublished="0">
      <xdr:nvSpPr>
        <xdr:cNvPr id="3" name="아래쪽 화살표 3"/>
        <xdr:cNvSpPr/>
      </xdr:nvSpPr>
      <xdr:spPr>
        <a:xfrm>
          <a:off x="0" y="0"/>
          <a:ext cx="0" cy="0"/>
        </a:xfrm>
        <a:prstGeom prst="downArrow">
          <a:avLst>
            <a:gd name="adj1" fmla="val 50000"/>
            <a:gd name="adj2" fmla="val 50000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overflow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fLocksText="1" fPublished="0">
      <xdr:nvSpPr>
        <xdr:cNvPr id="4" name="아래쪽 화살표 4"/>
        <xdr:cNvSpPr/>
      </xdr:nvSpPr>
      <xdr:spPr>
        <a:xfrm>
          <a:off x="0" y="0"/>
          <a:ext cx="0" cy="0"/>
        </a:xfrm>
        <a:prstGeom prst="downArrow">
          <a:avLst>
            <a:gd name="adj1" fmla="val 50000"/>
            <a:gd name="adj2" fmla="val 50000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overflow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1c3d62"/>
      </a:dk2>
      <a:lt2>
        <a:srgbClr val="e3dcc1"/>
      </a:lt2>
      <a:accent1>
        <a:srgbClr val="315f97"/>
      </a:accent1>
      <a:accent2>
        <a:srgbClr val="c75252"/>
      </a:accent2>
      <a:accent3>
        <a:srgbClr val="e9ae2b"/>
      </a:accent3>
      <a:accent4>
        <a:srgbClr val="699b37"/>
      </a:accent4>
      <a:accent5>
        <a:srgbClr val="358791"/>
      </a:accent5>
      <a:accent6>
        <a:srgbClr val="ca56a7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_rels/sheet2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5.xml"  /><Relationship Id="rId2" Type="http://schemas.openxmlformats.org/officeDocument/2006/relationships/vmlDrawing" Target="../drawings/vmlDrawing1.vml"  /><Relationship Id="rId3" Type="http://schemas.openxmlformats.org/officeDocument/2006/relationships/comments" Target="../comments1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>
    <x:pageSetUpPr autoPageBreaks="1" fitToPage="1"/>
  </x:sheetPr>
  <x:dimension ref="B1:G20"/>
  <x:sheetViews>
    <x:sheetView tabSelected="1" view="pageBreakPreview" topLeftCell="A1" zoomScaleNormal="100" zoomScaleSheetLayoutView="100" workbookViewId="0">
      <x:selection activeCell="H21" activeCellId="0" sqref="H21:H21"/>
    </x:sheetView>
  </x:sheetViews>
  <x:sheetFormatPr defaultColWidth="8.88671875" defaultRowHeight="16.39999999999999857891"/>
  <x:cols>
    <x:col min="1" max="1" width="2.21875" style="7" customWidth="1"/>
    <x:col min="2" max="2" width="5.6640625" style="7" customWidth="1"/>
    <x:col min="3" max="3" width="8.88671875" style="7" bestFit="1" customWidth="1"/>
    <x:col min="4" max="4" width="5.6640625" style="7" customWidth="1"/>
    <x:col min="5" max="6" width="16.6640625" style="28" customWidth="1"/>
    <x:col min="7" max="7" width="18" style="7" customWidth="1"/>
    <x:col min="8" max="16384" width="8.88671875" style="7"/>
  </x:cols>
  <x:sheetData>
    <x:row r="1" spans="3:7">
      <x:c r="C1" s="7">
        <x:f t="shared" ref="C1:G1" si="0">COLUMN()-COLUMN($C$1)+1</x:f>
        <x:v>1</x:v>
      </x:c>
      <x:c r="D1" s="7">
        <x:f t="shared" si="0"/>
        <x:v>2</x:v>
      </x:c>
      <x:c r="E1" s="28">
        <x:f t="shared" si="0"/>
        <x:v>3</x:v>
      </x:c>
      <x:c r="F1" s="28">
        <x:f t="shared" si="0"/>
        <x:v>4</x:v>
      </x:c>
      <x:c r="G1" s="7">
        <x:f t="shared" si="0"/>
        <x:v>5</x:v>
      </x:c>
    </x:row>
    <x:row r="2" spans="2:7" ht="30" customHeight="1">
      <x:c r="B2" s="191" t="s">
        <x:v>22</x:v>
      </x:c>
      <x:c r="C2" s="191" t="s">
        <x:v>12</x:v>
      </x:c>
      <x:c r="D2" s="191" t="s">
        <x:v>49</x:v>
      </x:c>
      <x:c r="E2" s="193" t="s">
        <x:v>14</x:v>
      </x:c>
      <x:c r="F2" s="193"/>
      <x:c r="G2" s="191" t="s">
        <x:v>10</x:v>
      </x:c>
    </x:row>
    <x:row r="3" spans="2:7" ht="30" customHeight="1">
      <x:c r="B3" s="192"/>
      <x:c r="C3" s="192"/>
      <x:c r="D3" s="192"/>
      <x:c r="E3" s="86" t="s">
        <x:v>11</x:v>
      </x:c>
      <x:c r="F3" s="86" t="s">
        <x:v>38</x:v>
      </x:c>
      <x:c r="G3" s="192"/>
    </x:row>
    <x:row r="4" spans="2:7">
      <x:c r="B4" s="8"/>
      <x:c r="C4" s="8"/>
      <x:c r="D4" s="8"/>
      <x:c r="E4" s="29"/>
      <x:c r="F4" s="29"/>
      <x:c r="G4" s="8"/>
    </x:row>
    <x:row r="5" spans="2:7">
      <x:c r="B5" s="5">
        <x:v>1</x:v>
      </x:c>
      <x:c r="C5" s="103"/>
      <x:c r="D5" s="5"/>
      <x:c r="E5" s="13"/>
      <x:c r="F5" s="13"/>
      <x:c r="G5" s="30"/>
    </x:row>
    <x:row r="6" spans="2:7">
      <x:c r="B6" s="5">
        <x:v>2</x:v>
      </x:c>
      <x:c r="C6" s="103"/>
      <x:c r="D6" s="5"/>
      <x:c r="E6" s="13"/>
      <x:c r="F6" s="30"/>
      <x:c r="G6" s="30"/>
    </x:row>
    <x:row r="7" spans="2:7">
      <x:c r="B7" s="5">
        <x:v>3</x:v>
      </x:c>
      <x:c r="C7" s="103"/>
      <x:c r="D7" s="5"/>
      <x:c r="E7" s="13"/>
      <x:c r="F7" s="13"/>
      <x:c r="G7" s="30"/>
    </x:row>
    <x:row r="8" spans="2:7">
      <x:c r="B8" s="5"/>
      <x:c r="C8" s="103"/>
      <x:c r="D8" s="5"/>
      <x:c r="E8" s="13"/>
      <x:c r="F8" s="13"/>
      <x:c r="G8" s="30"/>
    </x:row>
    <x:row r="9" spans="2:7">
      <x:c r="B9" s="5"/>
      <x:c r="C9" s="103"/>
      <x:c r="D9" s="5"/>
      <x:c r="E9" s="13"/>
      <x:c r="F9" s="13"/>
      <x:c r="G9" s="30"/>
    </x:row>
    <x:row r="10" spans="2:7">
      <x:c r="B10" s="5"/>
      <x:c r="C10" s="103"/>
      <x:c r="D10" s="5"/>
      <x:c r="E10" s="13"/>
      <x:c r="F10" s="13"/>
      <x:c r="G10" s="30"/>
    </x:row>
    <x:row r="11" spans="2:7">
      <x:c r="B11" s="5"/>
      <x:c r="C11" s="103"/>
      <x:c r="D11" s="5"/>
      <x:c r="E11" s="13"/>
      <x:c r="F11" s="13"/>
      <x:c r="G11" s="30"/>
    </x:row>
    <x:row r="12" spans="2:7">
      <x:c r="B12" s="5"/>
      <x:c r="C12" s="103"/>
      <x:c r="D12" s="5"/>
      <x:c r="E12" s="13"/>
      <x:c r="F12" s="13"/>
      <x:c r="G12" s="19"/>
    </x:row>
    <x:row r="13" spans="2:7">
      <x:c r="B13" s="5"/>
      <x:c r="C13" s="103"/>
      <x:c r="D13" s="5"/>
      <x:c r="E13" s="13"/>
      <x:c r="F13" s="13"/>
      <x:c r="G13" s="19"/>
    </x:row>
    <x:row r="14" spans="2:7">
      <x:c r="B14" s="5"/>
      <x:c r="C14" s="103"/>
      <x:c r="D14" s="5"/>
      <x:c r="E14" s="13"/>
      <x:c r="F14" s="13"/>
      <x:c r="G14" s="19"/>
    </x:row>
    <x:row r="15" spans="2:7">
      <x:c r="B15" s="5"/>
      <x:c r="C15" s="103"/>
      <x:c r="D15" s="5"/>
      <x:c r="E15" s="13"/>
      <x:c r="F15" s="104"/>
      <x:c r="G15" s="19"/>
    </x:row>
    <x:row r="16" spans="2:7">
      <x:c r="B16" s="5"/>
      <x:c r="C16" s="103"/>
      <x:c r="D16" s="5"/>
      <x:c r="E16" s="13"/>
      <x:c r="F16" s="104"/>
      <x:c r="G16" s="19"/>
    </x:row>
    <x:row r="17" spans="2:7">
      <x:c r="B17" s="5"/>
      <x:c r="C17" s="103"/>
      <x:c r="D17" s="5"/>
      <x:c r="E17" s="13"/>
      <x:c r="F17" s="104"/>
      <x:c r="G17" s="19"/>
    </x:row>
    <x:row r="18" spans="2:7">
      <x:c r="B18" s="5"/>
      <x:c r="C18" s="103"/>
      <x:c r="D18" s="5"/>
      <x:c r="E18" s="13"/>
      <x:c r="F18" s="104"/>
      <x:c r="G18" s="19"/>
    </x:row>
    <x:row r="19" spans="2:7">
      <x:c r="B19" s="8"/>
      <x:c r="C19" s="8"/>
      <x:c r="D19" s="8"/>
      <x:c r="E19" s="29"/>
      <x:c r="F19" s="29"/>
      <x:c r="G19" s="8"/>
    </x:row>
    <x:row r="20" spans="2:7" ht="6" customHeight="1">
      <x:c r="B20" s="5"/>
      <x:c r="C20" s="5"/>
      <x:c r="D20" s="5"/>
      <x:c r="E20" s="30"/>
      <x:c r="F20" s="30"/>
      <x:c r="G20" s="5"/>
    </x:row>
  </x:sheetData>
  <x:mergeCells count="5">
    <x:mergeCell ref="B2:B3"/>
    <x:mergeCell ref="C2:C3"/>
    <x:mergeCell ref="D2:D3"/>
    <x:mergeCell ref="E2:F2"/>
    <x:mergeCell ref="G2:G3"/>
  </x:mergeCells>
  <x:pageMargins left="0.74805557727813720703" right="0.74805557727813720703" top="0.98430556058883666992" bottom="0.98430556058883666992" header="0.51138889789581298828" footer="0.51138889789581298828"/>
  <x:pageSetup paperSize="9" scale="95" firstPageNumber="1" fitToWidth="1" fitToHeight="1" orientation="landscape" usePrinterDefaults="1" blackAndWhite="0" draft="1" useFirstPageNumber="0" errors="dash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>
    <x:pageSetUpPr autoPageBreaks="1" fitToPage="1"/>
  </x:sheetPr>
  <x:dimension ref="A1:S24"/>
  <x:sheetViews>
    <x:sheetView topLeftCell="A1" zoomScaleNormal="100" zoomScaleSheetLayoutView="100" workbookViewId="0">
      <x:selection activeCell="C4" activeCellId="0" sqref="C4:O6"/>
    </x:sheetView>
  </x:sheetViews>
  <x:sheetFormatPr defaultColWidth="8.88671875" defaultRowHeight="13.55000000000000071054"/>
  <x:cols>
    <x:col min="2" max="2" width="8.88671875" style="2" bestFit="1" customWidth="1"/>
    <x:col min="3" max="3" width="10.3984375" style="2" customWidth="1"/>
    <x:col min="4" max="4" width="9.4609375" style="2" customWidth="1"/>
    <x:col min="5" max="5" width="7.12109375" style="2" customWidth="1"/>
    <x:col min="6" max="6" width="9.35546875" style="2" customWidth="1"/>
    <x:col min="8" max="8" width="8.88671875" bestFit="1" customWidth="1"/>
    <x:col min="12" max="12" width="8.88671875" customWidth="1"/>
    <x:col min="13" max="13" width="7.4453125" style="1" customWidth="1"/>
    <x:col min="14" max="14" width="7.66796875" style="1" customWidth="1"/>
    <x:col min="15" max="15" width="7.4453125" style="1" customWidth="1"/>
    <x:col min="17" max="17" width="12.4453125" style="1" customWidth="1"/>
    <x:col min="18" max="18" width="6.98046875" style="1" customWidth="1"/>
  </x:cols>
  <x:sheetData>
    <x:row r="1" spans="1:19" s="1" customFormat="1" ht="29.14999999999999857891">
      <x:c r="A1" s="194" t="s">
        <x:v>16</x:v>
      </x:c>
      <x:c r="B1" s="194"/>
      <x:c r="C1" s="194"/>
      <x:c r="D1" s="194"/>
      <x:c r="E1" s="194"/>
      <x:c r="F1" s="194"/>
      <x:c r="G1" s="194"/>
      <x:c r="H1" s="194"/>
      <x:c r="I1" s="194"/>
      <x:c r="J1" s="194"/>
      <x:c r="K1" s="194"/>
      <x:c r="L1" s="194"/>
      <x:c r="M1" s="194"/>
      <x:c r="N1" s="194"/>
      <x:c r="O1" s="194"/>
      <x:c r="P1" s="194"/>
      <x:c r="Q1" s="194"/>
      <x:c r="R1" s="194"/>
      <x:c r="S1" s="150"/>
    </x:row>
    <x:row r="2" spans="1:19" s="1" customFormat="1" ht="23.5">
      <x:c r="A2" s="195" t="s">
        <x:v>14</x:v>
      </x:c>
      <x:c r="B2" s="196" t="s">
        <x:v>13</x:v>
      </x:c>
      <x:c r="C2" s="198" t="s">
        <x:v>96</x:v>
      </x:c>
      <x:c r="D2" s="198"/>
      <x:c r="E2" s="198"/>
      <x:c r="F2" s="198"/>
      <x:c r="G2" s="198"/>
      <x:c r="H2" s="198"/>
      <x:c r="I2" s="198"/>
      <x:c r="J2" s="198"/>
      <x:c r="K2" s="198"/>
      <x:c r="L2" s="198"/>
      <x:c r="M2" s="198"/>
      <x:c r="N2" s="198"/>
      <x:c r="O2" s="198"/>
      <x:c r="P2" s="198"/>
      <x:c r="Q2" s="199" t="s">
        <x:v>138</x:v>
      </x:c>
      <x:c r="R2" s="195" t="s">
        <x:v>10</x:v>
      </x:c>
      <x:c r="S2" s="150"/>
    </x:row>
    <x:row r="3" spans="1:19" s="1" customFormat="1" ht="35.79999999999999715783">
      <x:c r="A3" s="195"/>
      <x:c r="B3" s="197"/>
      <x:c r="C3" s="151" t="s">
        <x:v>107</x:v>
      </x:c>
      <x:c r="D3" s="152" t="s">
        <x:v>89</x:v>
      </x:c>
      <x:c r="E3" s="153" t="s">
        <x:v>91</x:v>
      </x:c>
      <x:c r="F3" s="153" t="s">
        <x:v>85</x:v>
      </x:c>
      <x:c r="G3" s="154" t="s">
        <x:v>71</x:v>
      </x:c>
      <x:c r="H3" s="153" t="s">
        <x:v>73</x:v>
      </x:c>
      <x:c r="I3" s="153" t="s">
        <x:v>78</x:v>
      </x:c>
      <x:c r="J3" s="153" t="s">
        <x:v>119</x:v>
      </x:c>
      <x:c r="K3" s="177" t="s">
        <x:v>123</x:v>
      </x:c>
      <x:c r="L3" s="153" t="s">
        <x:v>130</x:v>
      </x:c>
      <x:c r="M3" s="153" t="s">
        <x:v>90</x:v>
      </x:c>
      <x:c r="N3" s="153" t="s">
        <x:v>74</x:v>
      </x:c>
      <x:c r="O3" s="153" t="s">
        <x:v>72</x:v>
      </x:c>
      <x:c r="P3" s="151" t="s">
        <x:v>133</x:v>
      </x:c>
      <x:c r="Q3" s="199"/>
      <x:c r="R3" s="195"/>
      <x:c r="S3" s="150"/>
    </x:row>
    <x:row r="4" spans="1:19" s="1" customFormat="1" ht="22.5" customHeight="1">
      <x:c r="A4" s="160" t="s">
        <x:v>122</x:v>
      </x:c>
      <x:c r="B4" s="238"/>
      <x:c r="C4" s="106"/>
      <x:c r="D4" s="240">
        <x:v>0</x:v>
      </x:c>
      <x:c r="E4" s="240"/>
      <x:c r="F4" s="240"/>
      <x:c r="G4" s="240"/>
      <x:c r="H4" s="27"/>
      <x:c r="I4" s="240"/>
      <x:c r="J4" s="240"/>
      <x:c r="K4" s="240"/>
      <x:c r="L4" s="240"/>
      <x:c r="M4" s="240"/>
      <x:c r="N4" s="240"/>
      <x:c r="O4" s="240"/>
      <x:c r="P4" s="158">
        <x:f>SUM(C4:O4)</x:f>
        <x:v>0</x:v>
      </x:c>
      <x:c r="Q4" s="157">
        <x:f>ROUNDDOWN(P4*1/12,-1)</x:f>
        <x:v>0</x:v>
      </x:c>
      <x:c r="R4" s="159"/>
      <x:c r="S4" s="150"/>
    </x:row>
    <x:row r="5" spans="1:19" s="1" customFormat="1" ht="22.5" customHeight="1">
      <x:c r="A5" s="160" t="s">
        <x:v>125</x:v>
      </x:c>
      <x:c r="B5" s="238"/>
      <x:c r="C5" s="106"/>
      <x:c r="D5" s="240">
        <x:v>0</x:v>
      </x:c>
      <x:c r="E5" s="240"/>
      <x:c r="F5" s="240"/>
      <x:c r="G5" s="240"/>
      <x:c r="H5" s="27"/>
      <x:c r="I5" s="240"/>
      <x:c r="J5" s="240"/>
      <x:c r="K5" s="240"/>
      <x:c r="L5" s="240"/>
      <x:c r="M5" s="240"/>
      <x:c r="N5" s="240"/>
      <x:c r="O5" s="240"/>
      <x:c r="P5" s="158">
        <x:f>SUM(C5:O5)</x:f>
        <x:v>0</x:v>
      </x:c>
      <x:c r="Q5" s="157">
        <x:f>ROUNDDOWN(P5*1/12,-1)</x:f>
        <x:v>0</x:v>
      </x:c>
      <x:c r="R5" s="159"/>
      <x:c r="S5" s="150"/>
    </x:row>
    <x:row r="6" spans="1:19" s="1" customFormat="1" ht="22.5" customHeight="1">
      <x:c r="A6" s="155"/>
      <x:c r="B6" s="239"/>
      <x:c r="C6" s="239"/>
      <x:c r="D6" s="240"/>
      <x:c r="E6" s="240"/>
      <x:c r="F6" s="240"/>
      <x:c r="G6" s="240"/>
      <x:c r="H6" s="240"/>
      <x:c r="I6" s="240"/>
      <x:c r="J6" s="240"/>
      <x:c r="K6" s="240"/>
      <x:c r="L6" s="240"/>
      <x:c r="M6" s="240"/>
      <x:c r="N6" s="240"/>
      <x:c r="O6" s="240"/>
      <x:c r="P6" s="158"/>
      <x:c r="Q6" s="157">
        <x:f t="shared" ref="Q6:Q7" si="0">ROUNDDOWN(P6*1/12,-1)</x:f>
        <x:v>0</x:v>
      </x:c>
      <x:c r="R6" s="159"/>
      <x:c r="S6" s="150"/>
    </x:row>
    <x:row r="7" spans="1:19" s="1" customFormat="1" ht="22.5" customHeight="1">
      <x:c r="A7" s="160"/>
      <x:c r="B7" s="156"/>
      <x:c r="C7" s="156"/>
      <x:c r="D7" s="157"/>
      <x:c r="E7" s="157"/>
      <x:c r="F7" s="157"/>
      <x:c r="G7" s="157"/>
      <x:c r="H7" s="157"/>
      <x:c r="I7" s="157"/>
      <x:c r="J7" s="157"/>
      <x:c r="K7" s="157"/>
      <x:c r="L7" s="157"/>
      <x:c r="M7" s="157"/>
      <x:c r="N7" s="157"/>
      <x:c r="O7" s="157"/>
      <x:c r="P7" s="158">
        <x:f>SUM(C7:O7)</x:f>
        <x:v>0</x:v>
      </x:c>
      <x:c r="Q7" s="157">
        <x:f t="shared" si="0"/>
        <x:v>0</x:v>
      </x:c>
      <x:c r="R7" s="159"/>
      <x:c r="S7" s="150"/>
    </x:row>
    <x:row r="8" spans="1:19" s="1" customFormat="1" ht="22.5" customHeight="1">
      <x:c r="A8" s="160"/>
      <x:c r="B8" s="156"/>
      <x:c r="C8" s="156"/>
      <x:c r="D8" s="157"/>
      <x:c r="E8" s="157"/>
      <x:c r="F8" s="157"/>
      <x:c r="G8" s="157"/>
      <x:c r="H8" s="157"/>
      <x:c r="I8" s="157"/>
      <x:c r="J8" s="157"/>
      <x:c r="K8" s="157"/>
      <x:c r="L8" s="157"/>
      <x:c r="M8" s="157"/>
      <x:c r="N8" s="157"/>
      <x:c r="O8" s="157"/>
      <x:c r="P8" s="158"/>
      <x:c r="Q8" s="157"/>
      <x:c r="R8" s="159"/>
      <x:c r="S8" s="150"/>
    </x:row>
    <x:row r="9" spans="1:19" s="1" customFormat="1" ht="22.5" customHeight="1">
      <x:c r="A9" s="160"/>
      <x:c r="B9" s="156"/>
      <x:c r="C9" s="156"/>
      <x:c r="D9" s="157"/>
      <x:c r="E9" s="157"/>
      <x:c r="F9" s="157"/>
      <x:c r="G9" s="157"/>
      <x:c r="H9" s="157"/>
      <x:c r="I9" s="157"/>
      <x:c r="J9" s="157"/>
      <x:c r="K9" s="157"/>
      <x:c r="L9" s="157"/>
      <x:c r="M9" s="157"/>
      <x:c r="N9" s="157"/>
      <x:c r="O9" s="157"/>
      <x:c r="P9" s="158"/>
      <x:c r="Q9" s="157"/>
      <x:c r="R9" s="159"/>
      <x:c r="S9" s="150"/>
    </x:row>
    <x:row r="10" spans="1:19" s="1" customFormat="1" ht="22.5" customHeight="1">
      <x:c r="A10" s="160"/>
      <x:c r="B10" s="156"/>
      <x:c r="C10" s="156"/>
      <x:c r="D10" s="157"/>
      <x:c r="E10" s="157"/>
      <x:c r="F10" s="157"/>
      <x:c r="G10" s="157"/>
      <x:c r="H10" s="157"/>
      <x:c r="I10" s="157"/>
      <x:c r="J10" s="157"/>
      <x:c r="K10" s="157"/>
      <x:c r="L10" s="157"/>
      <x:c r="M10" s="157"/>
      <x:c r="N10" s="157"/>
      <x:c r="O10" s="157"/>
      <x:c r="P10" s="158"/>
      <x:c r="Q10" s="157"/>
      <x:c r="R10" s="159"/>
      <x:c r="S10" s="150"/>
    </x:row>
    <x:row r="11" spans="1:19" s="1" customFormat="1" ht="22.5" customHeight="1">
      <x:c r="A11" s="160"/>
      <x:c r="B11" s="156"/>
      <x:c r="C11" s="156"/>
      <x:c r="D11" s="157"/>
      <x:c r="E11" s="157"/>
      <x:c r="F11" s="157"/>
      <x:c r="G11" s="157"/>
      <x:c r="H11" s="157"/>
      <x:c r="I11" s="157"/>
      <x:c r="J11" s="157"/>
      <x:c r="K11" s="157"/>
      <x:c r="L11" s="157"/>
      <x:c r="M11" s="157"/>
      <x:c r="N11" s="157"/>
      <x:c r="O11" s="157"/>
      <x:c r="P11" s="158"/>
      <x:c r="Q11" s="157"/>
      <x:c r="R11" s="159"/>
      <x:c r="S11" s="150"/>
    </x:row>
    <x:row r="12" spans="1:19" s="1" customFormat="1" ht="22.5" customHeight="1">
      <x:c r="A12" s="160"/>
      <x:c r="B12" s="156"/>
      <x:c r="C12" s="156"/>
      <x:c r="D12" s="157"/>
      <x:c r="E12" s="157"/>
      <x:c r="F12" s="157"/>
      <x:c r="G12" s="157"/>
      <x:c r="H12" s="157"/>
      <x:c r="I12" s="157"/>
      <x:c r="J12" s="157"/>
      <x:c r="K12" s="157"/>
      <x:c r="L12" s="157"/>
      <x:c r="M12" s="157"/>
      <x:c r="N12" s="157"/>
      <x:c r="O12" s="157"/>
      <x:c r="P12" s="158"/>
      <x:c r="Q12" s="157"/>
      <x:c r="R12" s="159"/>
      <x:c r="S12" s="150"/>
    </x:row>
    <x:row r="13" spans="1:19" s="1" customFormat="1" ht="22.5" customHeight="1">
      <x:c r="A13" s="161"/>
      <x:c r="B13" s="156"/>
      <x:c r="C13" s="156"/>
      <x:c r="D13" s="157"/>
      <x:c r="E13" s="157"/>
      <x:c r="F13" s="157"/>
      <x:c r="G13" s="157"/>
      <x:c r="H13" s="157"/>
      <x:c r="I13" s="157"/>
      <x:c r="J13" s="157"/>
      <x:c r="K13" s="157"/>
      <x:c r="L13" s="157"/>
      <x:c r="M13" s="157"/>
      <x:c r="N13" s="157"/>
      <x:c r="O13" s="157"/>
      <x:c r="P13" s="158"/>
      <x:c r="Q13" s="157"/>
      <x:c r="R13" s="159"/>
      <x:c r="S13" s="150"/>
    </x:row>
    <x:row r="14" spans="1:19" s="1" customFormat="1" ht="22.5" customHeight="1">
      <x:c r="A14" s="160"/>
      <x:c r="B14" s="156"/>
      <x:c r="C14" s="156"/>
      <x:c r="D14" s="157"/>
      <x:c r="E14" s="157"/>
      <x:c r="F14" s="157"/>
      <x:c r="G14" s="157"/>
      <x:c r="H14" s="157"/>
      <x:c r="I14" s="157"/>
      <x:c r="J14" s="157"/>
      <x:c r="K14" s="157"/>
      <x:c r="L14" s="157"/>
      <x:c r="M14" s="157"/>
      <x:c r="N14" s="157"/>
      <x:c r="O14" s="157"/>
      <x:c r="P14" s="158"/>
      <x:c r="Q14" s="157"/>
      <x:c r="R14" s="159"/>
      <x:c r="S14" s="150"/>
    </x:row>
    <x:row r="15" spans="1:19" s="1" customFormat="1" ht="22.5" customHeight="1">
      <x:c r="A15" s="160"/>
      <x:c r="B15" s="156"/>
      <x:c r="C15" s="156"/>
      <x:c r="D15" s="157"/>
      <x:c r="E15" s="157"/>
      <x:c r="F15" s="157"/>
      <x:c r="G15" s="157"/>
      <x:c r="H15" s="157"/>
      <x:c r="I15" s="157"/>
      <x:c r="J15" s="157"/>
      <x:c r="K15" s="157"/>
      <x:c r="L15" s="157"/>
      <x:c r="M15" s="157"/>
      <x:c r="N15" s="157"/>
      <x:c r="O15" s="157"/>
      <x:c r="P15" s="158"/>
      <x:c r="Q15" s="157"/>
      <x:c r="R15" s="159"/>
      <x:c r="S15" s="150"/>
    </x:row>
    <x:row r="16" spans="1:19" s="1" customFormat="1" ht="22.5" customHeight="1">
      <x:c r="A16" s="160"/>
      <x:c r="B16" s="156"/>
      <x:c r="C16" s="156"/>
      <x:c r="D16" s="157"/>
      <x:c r="E16" s="157"/>
      <x:c r="F16" s="157"/>
      <x:c r="G16" s="157"/>
      <x:c r="H16" s="157"/>
      <x:c r="I16" s="157"/>
      <x:c r="J16" s="157"/>
      <x:c r="K16" s="157"/>
      <x:c r="L16" s="157"/>
      <x:c r="M16" s="157"/>
      <x:c r="N16" s="157"/>
      <x:c r="O16" s="157"/>
      <x:c r="P16" s="158"/>
      <x:c r="Q16" s="157"/>
      <x:c r="R16" s="159"/>
      <x:c r="S16" s="150"/>
    </x:row>
    <x:row r="17" spans="1:19" s="1" customFormat="1" ht="22.5" customHeight="1">
      <x:c r="A17" s="160"/>
      <x:c r="B17" s="156"/>
      <x:c r="C17" s="156"/>
      <x:c r="D17" s="157"/>
      <x:c r="E17" s="157"/>
      <x:c r="F17" s="157"/>
      <x:c r="G17" s="157"/>
      <x:c r="H17" s="157"/>
      <x:c r="I17" s="157"/>
      <x:c r="J17" s="157"/>
      <x:c r="K17" s="157"/>
      <x:c r="L17" s="157"/>
      <x:c r="M17" s="157"/>
      <x:c r="N17" s="157"/>
      <x:c r="O17" s="157"/>
      <x:c r="P17" s="158"/>
      <x:c r="Q17" s="157"/>
      <x:c r="R17" s="159"/>
      <x:c r="S17" s="150"/>
    </x:row>
    <x:row r="18" spans="1:19" s="1" customFormat="1" ht="22.5" customHeight="1">
      <x:c r="A18" s="160"/>
      <x:c r="B18" s="156"/>
      <x:c r="C18" s="156"/>
      <x:c r="D18" s="157"/>
      <x:c r="E18" s="157"/>
      <x:c r="F18" s="157"/>
      <x:c r="G18" s="157"/>
      <x:c r="H18" s="157"/>
      <x:c r="I18" s="157"/>
      <x:c r="J18" s="157"/>
      <x:c r="K18" s="157"/>
      <x:c r="L18" s="157"/>
      <x:c r="M18" s="157"/>
      <x:c r="N18" s="157"/>
      <x:c r="O18" s="157"/>
      <x:c r="P18" s="158"/>
      <x:c r="Q18" s="157"/>
      <x:c r="R18" s="159"/>
      <x:c r="S18" s="150"/>
    </x:row>
    <x:row r="19" spans="1:19" s="1" customFormat="1" ht="22.5" customHeight="1">
      <x:c r="A19" s="160"/>
      <x:c r="B19" s="156" t="s">
        <x:v>15</x:v>
      </x:c>
      <x:c r="C19" s="156"/>
      <x:c r="D19" s="157"/>
      <x:c r="E19" s="157"/>
      <x:c r="F19" s="157"/>
      <x:c r="G19" s="157"/>
      <x:c r="H19" s="157"/>
      <x:c r="I19" s="157"/>
      <x:c r="J19" s="157"/>
      <x:c r="K19" s="157"/>
      <x:c r="L19" s="157"/>
      <x:c r="M19" s="157"/>
      <x:c r="N19" s="157"/>
      <x:c r="O19" s="157"/>
      <x:c r="P19" s="158"/>
      <x:c r="Q19" s="157"/>
      <x:c r="R19" s="159"/>
      <x:c r="S19" s="150"/>
    </x:row>
    <x:row r="20" spans="1:19" s="1" customFormat="1" ht="22.5" customHeight="1">
      <x:c r="A20" s="160"/>
      <x:c r="B20" s="156" t="s">
        <x:v>15</x:v>
      </x:c>
      <x:c r="C20" s="156"/>
      <x:c r="D20" s="157"/>
      <x:c r="E20" s="157"/>
      <x:c r="F20" s="157"/>
      <x:c r="G20" s="157"/>
      <x:c r="H20" s="157"/>
      <x:c r="I20" s="157"/>
      <x:c r="J20" s="157"/>
      <x:c r="K20" s="157"/>
      <x:c r="L20" s="157"/>
      <x:c r="M20" s="157"/>
      <x:c r="N20" s="157"/>
      <x:c r="O20" s="157"/>
      <x:c r="P20" s="158"/>
      <x:c r="Q20" s="157"/>
      <x:c r="R20" s="159"/>
      <x:c r="S20" s="150"/>
    </x:row>
    <x:row r="21" spans="1:19" s="1" customFormat="1" ht="22.5" customHeight="1">
      <x:c r="A21" s="162" t="s">
        <x:v>21</x:v>
      </x:c>
      <x:c r="B21" s="162"/>
      <x:c r="C21" s="162">
        <x:f>SUM(C4:C20)</x:f>
        <x:v>0</x:v>
      </x:c>
      <x:c r="D21" s="162">
        <x:f t="shared" ref="D21:Q21" si="1">SUM(D4:D20)</x:f>
        <x:v>0</x:v>
      </x:c>
      <x:c r="E21" s="162">
        <x:f t="shared" si="1"/>
        <x:v>0</x:v>
      </x:c>
      <x:c r="F21" s="162">
        <x:f t="shared" si="1"/>
        <x:v>0</x:v>
      </x:c>
      <x:c r="G21" s="162">
        <x:f t="shared" si="1"/>
        <x:v>0</x:v>
      </x:c>
      <x:c r="H21" s="162">
        <x:f t="shared" si="1"/>
        <x:v>0</x:v>
      </x:c>
      <x:c r="I21" s="162">
        <x:f t="shared" si="1"/>
        <x:v>0</x:v>
      </x:c>
      <x:c r="J21" s="162">
        <x:f t="shared" si="1"/>
        <x:v>0</x:v>
      </x:c>
      <x:c r="K21" s="162">
        <x:f t="shared" si="1"/>
        <x:v>0</x:v>
      </x:c>
      <x:c r="L21" s="162"/>
      <x:c r="M21" s="162">
        <x:f t="shared" si="1"/>
        <x:v>0</x:v>
      </x:c>
      <x:c r="N21" s="162">
        <x:f t="shared" si="1"/>
        <x:v>0</x:v>
      </x:c>
      <x:c r="O21" s="162">
        <x:f t="shared" si="1"/>
        <x:v>0</x:v>
      </x:c>
      <x:c r="P21" s="162">
        <x:f t="shared" si="1"/>
        <x:v>0</x:v>
      </x:c>
      <x:c r="Q21" s="162">
        <x:f t="shared" si="1"/>
        <x:v>0</x:v>
      </x:c>
      <x:c r="R21" s="162"/>
      <x:c r="S21" s="150"/>
    </x:row>
    <x:row r="22" spans="1:19" s="1" customFormat="1" ht="20.64999999999999857891">
      <x:c r="A22" s="200" t="s">
        <x:v>62</x:v>
      </x:c>
      <x:c r="B22" s="200"/>
      <x:c r="C22" s="200"/>
      <x:c r="D22" s="200"/>
      <x:c r="E22" s="200"/>
      <x:c r="F22" s="200"/>
      <x:c r="G22" s="200"/>
      <x:c r="H22" s="200"/>
      <x:c r="I22" s="200"/>
      <x:c r="J22" s="200"/>
      <x:c r="K22" s="200"/>
      <x:c r="L22" s="200"/>
      <x:c r="M22" s="200"/>
      <x:c r="N22" s="200"/>
      <x:c r="O22" s="200"/>
      <x:c r="P22" s="200"/>
      <x:c r="Q22" s="200"/>
      <x:c r="R22" s="200"/>
      <x:c r="S22" s="150"/>
    </x:row>
    <x:row r="23" spans="1:19" s="1" customFormat="1" ht="16.39999999999999857891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150"/>
    </x:row>
    <x:row r="24" spans="1:19" s="1" customFormat="1" ht="16.39999999999999857891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163" t="s">
        <x:v>136</x:v>
      </x:c>
      <x:c r="L24" s="163"/>
      <x:c r="M24" s="163"/>
      <x:c r="N24" s="163"/>
      <x:c r="O24" s="163"/>
      <x:c r="P24" s="163"/>
      <x:c r="Q24" s="4"/>
      <x:c r="R24" s="4"/>
      <x:c r="S24" s="150"/>
    </x:row>
  </x:sheetData>
  <x:mergeCells count="7">
    <x:mergeCell ref="A1:R1"/>
    <x:mergeCell ref="A2:A3"/>
    <x:mergeCell ref="B2:B3"/>
    <x:mergeCell ref="C2:P2"/>
    <x:mergeCell ref="Q2:Q3"/>
    <x:mergeCell ref="R2:R3"/>
    <x:mergeCell ref="A22:R22"/>
  </x:mergeCells>
  <x:pageMargins left="0.53944444656372070313" right="0.30166667699813842773" top="0.98430556058883666992" bottom="0.98430556058883666992" header="0.51138889789581298828" footer="0.51138889789581298828"/>
  <x:pageSetup paperSize="9" scale="73" firstPageNumber="1" fitToWidth="1" fitToHeight="1" orientation="landscape" usePrinterDefaults="1" blackAndWhite="0" draft="0" useFirstPageNumber="0" horizontalDpi="0" verticalDpi="0" copies="0"/>
  <x:drawing r:id="rId1"/>
  <x:legacyDrawing r:id="rId2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>
    <x:pageSetUpPr autoPageBreaks="1" fitToPage="1"/>
  </x:sheetPr>
  <x:dimension ref="B2:AG16"/>
  <x:sheetViews>
    <x:sheetView view="pageBreakPreview" topLeftCell="A7" zoomScaleNormal="100" zoomScaleSheetLayoutView="100" workbookViewId="0">
      <x:selection activeCell="M15" activeCellId="0" sqref="M15:M15"/>
    </x:sheetView>
  </x:sheetViews>
  <x:sheetFormatPr defaultColWidth="8.88671875" defaultRowHeight="16.39999999999999857891"/>
  <x:cols>
    <x:col min="1" max="1" width="2.33203125" style="7" customWidth="1"/>
    <x:col min="2" max="2" width="12.44140625" style="7" customWidth="1"/>
    <x:col min="3" max="3" width="7.44140625" style="7" customWidth="1"/>
    <x:col min="4" max="33" width="10.1015625" style="7" customWidth="1"/>
    <x:col min="34" max="16384" width="8.88671875" style="7"/>
  </x:cols>
  <x:sheetData>
    <x:row r="2" spans="2:5" ht="45" customHeight="1">
      <x:c r="B2" s="201" t="s">
        <x:v>88</x:v>
      </x:c>
      <x:c r="C2" s="201"/>
      <x:c r="D2" s="201"/>
      <x:c r="E2" s="201"/>
    </x:row>
    <x:row r="3" spans="2:33" ht="45" customHeight="1">
      <x:c r="B3" s="165" t="s">
        <x:v>131</x:v>
      </x:c>
      <x:c r="C3" s="166">
        <x:v>0</x:v>
      </x:c>
      <x:c r="D3" s="166">
        <x:v>1</x:v>
      </x:c>
      <x:c r="E3" s="166">
        <x:v>2</x:v>
      </x:c>
      <x:c r="F3" s="166">
        <x:v>3</x:v>
      </x:c>
      <x:c r="G3" s="166">
        <x:v>4</x:v>
      </x:c>
      <x:c r="H3" s="166">
        <x:v>5</x:v>
      </x:c>
      <x:c r="I3" s="166">
        <x:v>6</x:v>
      </x:c>
      <x:c r="J3" s="166">
        <x:v>7</x:v>
      </x:c>
      <x:c r="K3" s="166">
        <x:v>8</x:v>
      </x:c>
      <x:c r="L3" s="166">
        <x:v>9</x:v>
      </x:c>
      <x:c r="M3" s="166">
        <x:v>10</x:v>
      </x:c>
      <x:c r="N3" s="166">
        <x:v>11</x:v>
      </x:c>
      <x:c r="O3" s="166">
        <x:v>12</x:v>
      </x:c>
      <x:c r="P3" s="166">
        <x:v>13</x:v>
      </x:c>
      <x:c r="Q3" s="166">
        <x:v>14</x:v>
      </x:c>
      <x:c r="R3" s="166">
        <x:v>15</x:v>
      </x:c>
      <x:c r="S3" s="166">
        <x:v>16</x:v>
      </x:c>
      <x:c r="T3" s="166">
        <x:v>17</x:v>
      </x:c>
      <x:c r="U3" s="166">
        <x:v>18</x:v>
      </x:c>
      <x:c r="V3" s="166">
        <x:v>19</x:v>
      </x:c>
      <x:c r="W3" s="166">
        <x:v>20</x:v>
      </x:c>
      <x:c r="X3" s="166">
        <x:v>21</x:v>
      </x:c>
      <x:c r="Y3" s="166">
        <x:v>22</x:v>
      </x:c>
      <x:c r="Z3" s="166">
        <x:v>23</x:v>
      </x:c>
      <x:c r="AA3" s="166">
        <x:v>24</x:v>
      </x:c>
      <x:c r="AB3" s="166">
        <x:v>25</x:v>
      </x:c>
      <x:c r="AC3" s="166">
        <x:v>26</x:v>
      </x:c>
      <x:c r="AD3" s="166">
        <x:v>27</x:v>
      </x:c>
      <x:c r="AE3" s="166">
        <x:v>28</x:v>
      </x:c>
      <x:c r="AF3" s="166">
        <x:v>29</x:v>
      </x:c>
      <x:c r="AG3" s="167">
        <x:v>30</x:v>
      </x:c>
    </x:row>
    <x:row r="4" spans="2:33" ht="45" customHeight="1">
      <x:c r="B4" s="168">
        <x:v>2014</x:v>
      </x:c>
      <x:c r="C4" s="99">
        <x:v>0</x:v>
      </x:c>
      <x:c r="D4" s="140">
        <x:v>0</x:v>
      </x:c>
      <x:c r="E4" s="140">
        <x:v>0</x:v>
      </x:c>
      <x:c r="F4" s="140">
        <x:v>50000</x:v>
      </x:c>
      <x:c r="G4" s="140">
        <x:v>70000</x:v>
      </x:c>
      <x:c r="H4" s="140">
        <x:v>90000</x:v>
      </x:c>
      <x:c r="I4" s="140">
        <x:v>110000</x:v>
      </x:c>
      <x:c r="J4" s="140">
        <x:v>130000</x:v>
      </x:c>
      <x:c r="K4" s="140">
        <x:v>150000</x:v>
      </x:c>
      <x:c r="L4" s="140">
        <x:v>170000</x:v>
      </x:c>
      <x:c r="M4" s="143">
        <x:v>190000</x:v>
      </x:c>
      <x:c r="N4" s="143">
        <x:v>190000</x:v>
      </x:c>
      <x:c r="O4" s="143">
        <x:v>190000</x:v>
      </x:c>
      <x:c r="P4" s="143">
        <x:v>190000</x:v>
      </x:c>
      <x:c r="Q4" s="143">
        <x:v>190000</x:v>
      </x:c>
      <x:c r="R4" s="143">
        <x:v>190000</x:v>
      </x:c>
      <x:c r="S4" s="143">
        <x:v>190000</x:v>
      </x:c>
      <x:c r="T4" s="143">
        <x:v>190000</x:v>
      </x:c>
      <x:c r="U4" s="143">
        <x:v>190000</x:v>
      </x:c>
      <x:c r="V4" s="143">
        <x:v>190000</x:v>
      </x:c>
      <x:c r="W4" s="143">
        <x:v>190000</x:v>
      </x:c>
      <x:c r="X4" s="143">
        <x:v>190000</x:v>
      </x:c>
      <x:c r="Y4" s="143">
        <x:v>190000</x:v>
      </x:c>
      <x:c r="Z4" s="143">
        <x:v>190000</x:v>
      </x:c>
      <x:c r="AA4" s="143">
        <x:v>190000</x:v>
      </x:c>
      <x:c r="AB4" s="143">
        <x:v>190000</x:v>
      </x:c>
      <x:c r="AC4" s="143">
        <x:v>190000</x:v>
      </x:c>
      <x:c r="AD4" s="143">
        <x:v>190000</x:v>
      </x:c>
      <x:c r="AE4" s="143">
        <x:v>190000</x:v>
      </x:c>
      <x:c r="AF4" s="143">
        <x:v>190000</x:v>
      </x:c>
      <x:c r="AG4" s="144">
        <x:v>190000</x:v>
      </x:c>
    </x:row>
    <x:row r="5" spans="2:33" ht="45" customHeight="1">
      <x:c r="B5" s="168">
        <x:f>B4+1</x:f>
        <x:v>2015</x:v>
      </x:c>
      <x:c r="C5" s="99">
        <x:v>0</x:v>
      </x:c>
      <x:c r="D5" s="21">
        <x:v>0</x:v>
      </x:c>
      <x:c r="E5" s="21">
        <x:v>0</x:v>
      </x:c>
      <x:c r="F5" s="21">
        <x:v>50000</x:v>
      </x:c>
      <x:c r="G5" s="21">
        <x:v>70000</x:v>
      </x:c>
      <x:c r="H5" s="21">
        <x:v>90000</x:v>
      </x:c>
      <x:c r="I5" s="21">
        <x:v>110000</x:v>
      </x:c>
      <x:c r="J5" s="21">
        <x:v>130000</x:v>
      </x:c>
      <x:c r="K5" s="21">
        <x:v>150000</x:v>
      </x:c>
      <x:c r="L5" s="21">
        <x:v>170000</x:v>
      </x:c>
      <x:c r="M5" s="21">
        <x:v>190000</x:v>
      </x:c>
      <x:c r="N5" s="21">
        <x:v>210000</x:v>
      </x:c>
      <x:c r="O5" s="21">
        <x:v>230000</x:v>
      </x:c>
      <x:c r="P5" s="141">
        <x:v>250000</x:v>
      </x:c>
      <x:c r="Q5" s="141">
        <x:v>250000</x:v>
      </x:c>
      <x:c r="R5" s="141">
        <x:v>250000</x:v>
      </x:c>
      <x:c r="S5" s="141">
        <x:v>250000</x:v>
      </x:c>
      <x:c r="T5" s="141">
        <x:v>250000</x:v>
      </x:c>
      <x:c r="U5" s="141">
        <x:v>250000</x:v>
      </x:c>
      <x:c r="V5" s="141">
        <x:v>250000</x:v>
      </x:c>
      <x:c r="W5" s="141">
        <x:v>250000</x:v>
      </x:c>
      <x:c r="X5" s="141">
        <x:v>250000</x:v>
      </x:c>
      <x:c r="Y5" s="141">
        <x:v>250000</x:v>
      </x:c>
      <x:c r="Z5" s="141">
        <x:v>250000</x:v>
      </x:c>
      <x:c r="AA5" s="141">
        <x:v>250000</x:v>
      </x:c>
      <x:c r="AB5" s="141">
        <x:v>250000</x:v>
      </x:c>
      <x:c r="AC5" s="141">
        <x:v>250000</x:v>
      </x:c>
      <x:c r="AD5" s="141">
        <x:v>250000</x:v>
      </x:c>
      <x:c r="AE5" s="141">
        <x:v>250000</x:v>
      </x:c>
      <x:c r="AF5" s="141">
        <x:v>250000</x:v>
      </x:c>
      <x:c r="AG5" s="142">
        <x:v>250000</x:v>
      </x:c>
    </x:row>
    <x:row r="6" spans="2:33" ht="45" customHeight="1">
      <x:c r="B6" s="168">
        <x:f>B5+1</x:f>
        <x:v>2016</x:v>
      </x:c>
      <x:c r="C6" s="99">
        <x:v>0</x:v>
      </x:c>
      <x:c r="D6" s="21">
        <x:v>0</x:v>
      </x:c>
      <x:c r="E6" s="21">
        <x:v>0</x:v>
      </x:c>
      <x:c r="F6" s="21">
        <x:v>50000</x:v>
      </x:c>
      <x:c r="G6" s="21">
        <x:v>70000</x:v>
      </x:c>
      <x:c r="H6" s="21">
        <x:v>90000</x:v>
      </x:c>
      <x:c r="I6" s="21">
        <x:v>110000</x:v>
      </x:c>
      <x:c r="J6" s="21">
        <x:v>130000</x:v>
      </x:c>
      <x:c r="K6" s="21">
        <x:v>150000</x:v>
      </x:c>
      <x:c r="L6" s="21">
        <x:v>170000</x:v>
      </x:c>
      <x:c r="M6" s="21">
        <x:v>190000</x:v>
      </x:c>
      <x:c r="N6" s="21">
        <x:v>210000</x:v>
      </x:c>
      <x:c r="O6" s="21">
        <x:v>230000</x:v>
      </x:c>
      <x:c r="P6" s="21">
        <x:v>250000</x:v>
      </x:c>
      <x:c r="Q6" s="21">
        <x:v>270000</x:v>
      </x:c>
      <x:c r="R6" s="21">
        <x:v>290000</x:v>
      </x:c>
      <x:c r="S6" s="21">
        <x:v>310000</x:v>
      </x:c>
      <x:c r="T6" s="21">
        <x:v>330000</x:v>
      </x:c>
      <x:c r="U6" s="21">
        <x:v>350000</x:v>
      </x:c>
      <x:c r="V6" s="21">
        <x:v>370000</x:v>
      </x:c>
      <x:c r="W6" s="141">
        <x:v>390000</x:v>
      </x:c>
      <x:c r="X6" s="141">
        <x:v>390000</x:v>
      </x:c>
      <x:c r="Y6" s="141">
        <x:v>390000</x:v>
      </x:c>
      <x:c r="Z6" s="141">
        <x:v>390000</x:v>
      </x:c>
      <x:c r="AA6" s="141">
        <x:v>390000</x:v>
      </x:c>
      <x:c r="AB6" s="141">
        <x:v>390000</x:v>
      </x:c>
      <x:c r="AC6" s="141">
        <x:v>390000</x:v>
      </x:c>
      <x:c r="AD6" s="141">
        <x:v>390000</x:v>
      </x:c>
      <x:c r="AE6" s="141">
        <x:v>390000</x:v>
      </x:c>
      <x:c r="AF6" s="141">
        <x:v>390000</x:v>
      </x:c>
      <x:c r="AG6" s="142">
        <x:v>390000</x:v>
      </x:c>
    </x:row>
    <x:row r="7" spans="2:33" ht="45" customHeight="1">
      <x:c r="B7" s="168">
        <x:f>B6+1</x:f>
        <x:v>2017</x:v>
      </x:c>
      <x:c r="C7" s="99">
        <x:v>0</x:v>
      </x:c>
      <x:c r="D7" s="21">
        <x:v>0</x:v>
      </x:c>
      <x:c r="E7" s="21">
        <x:v>0</x:v>
      </x:c>
      <x:c r="F7" s="21">
        <x:v>50000</x:v>
      </x:c>
      <x:c r="G7" s="21">
        <x:v>70000</x:v>
      </x:c>
      <x:c r="H7" s="21">
        <x:v>90000</x:v>
      </x:c>
      <x:c r="I7" s="21">
        <x:v>110000</x:v>
      </x:c>
      <x:c r="J7" s="21">
        <x:v>130000</x:v>
      </x:c>
      <x:c r="K7" s="21">
        <x:v>150000</x:v>
      </x:c>
      <x:c r="L7" s="21">
        <x:v>170000</x:v>
      </x:c>
      <x:c r="M7" s="21">
        <x:v>190000</x:v>
      </x:c>
      <x:c r="N7" s="21">
        <x:v>210000</x:v>
      </x:c>
      <x:c r="O7" s="21">
        <x:v>230000</x:v>
      </x:c>
      <x:c r="P7" s="21">
        <x:v>250000</x:v>
      </x:c>
      <x:c r="Q7" s="21">
        <x:v>270000</x:v>
      </x:c>
      <x:c r="R7" s="21">
        <x:v>290000</x:v>
      </x:c>
      <x:c r="S7" s="21">
        <x:v>310000</x:v>
      </x:c>
      <x:c r="T7" s="21">
        <x:v>330000</x:v>
      </x:c>
      <x:c r="U7" s="21">
        <x:v>350000</x:v>
      </x:c>
      <x:c r="V7" s="21">
        <x:v>370000</x:v>
      </x:c>
      <x:c r="W7" s="141">
        <x:v>390000</x:v>
      </x:c>
      <x:c r="X7" s="141">
        <x:v>390000</x:v>
      </x:c>
      <x:c r="Y7" s="141">
        <x:v>390000</x:v>
      </x:c>
      <x:c r="Z7" s="141">
        <x:v>390000</x:v>
      </x:c>
      <x:c r="AA7" s="141">
        <x:v>390000</x:v>
      </x:c>
      <x:c r="AB7" s="141">
        <x:v>390000</x:v>
      </x:c>
      <x:c r="AC7" s="141">
        <x:v>390000</x:v>
      </x:c>
      <x:c r="AD7" s="141">
        <x:v>390000</x:v>
      </x:c>
      <x:c r="AE7" s="141">
        <x:v>390000</x:v>
      </x:c>
      <x:c r="AF7" s="141">
        <x:v>390000</x:v>
      </x:c>
      <x:c r="AG7" s="142">
        <x:v>390000</x:v>
      </x:c>
    </x:row>
    <x:row r="8" spans="2:33" ht="45" hidden="1" customHeight="1">
      <x:c r="B8" s="168">
        <x:f>B7+1</x:f>
        <x:v>2018</x:v>
      </x:c>
      <x:c r="C8" s="99">
        <x:v>0</x:v>
      </x:c>
      <x:c r="D8" s="21">
        <x:v>0</x:v>
      </x:c>
      <x:c r="E8" s="21">
        <x:v>0</x:v>
      </x:c>
      <x:c r="F8" s="21">
        <x:v>50000</x:v>
      </x:c>
      <x:c r="G8" s="21">
        <x:v>70000</x:v>
      </x:c>
      <x:c r="H8" s="21">
        <x:v>90000</x:v>
      </x:c>
      <x:c r="I8" s="21">
        <x:v>110000</x:v>
      </x:c>
      <x:c r="J8" s="21">
        <x:v>130000</x:v>
      </x:c>
      <x:c r="K8" s="21">
        <x:v>150000</x:v>
      </x:c>
      <x:c r="L8" s="21">
        <x:v>170000</x:v>
      </x:c>
      <x:c r="M8" s="21">
        <x:v>190000</x:v>
      </x:c>
      <x:c r="N8" s="21">
        <x:v>210000</x:v>
      </x:c>
      <x:c r="O8" s="21">
        <x:v>230000</x:v>
      </x:c>
      <x:c r="P8" s="21">
        <x:v>250000</x:v>
      </x:c>
      <x:c r="Q8" s="21">
        <x:v>270000</x:v>
      </x:c>
      <x:c r="R8" s="21">
        <x:v>290000</x:v>
      </x:c>
      <x:c r="S8" s="21">
        <x:v>310000</x:v>
      </x:c>
      <x:c r="T8" s="21">
        <x:v>330000</x:v>
      </x:c>
      <x:c r="U8" s="21">
        <x:v>350000</x:v>
      </x:c>
      <x:c r="V8" s="21">
        <x:v>370000</x:v>
      </x:c>
      <x:c r="W8" s="141">
        <x:v>390000</x:v>
      </x:c>
      <x:c r="X8" s="141">
        <x:v>390000</x:v>
      </x:c>
      <x:c r="Y8" s="141">
        <x:v>390000</x:v>
      </x:c>
      <x:c r="Z8" s="141">
        <x:v>390000</x:v>
      </x:c>
      <x:c r="AA8" s="141">
        <x:v>390000</x:v>
      </x:c>
      <x:c r="AB8" s="141">
        <x:v>390000</x:v>
      </x:c>
      <x:c r="AC8" s="141">
        <x:v>390000</x:v>
      </x:c>
      <x:c r="AD8" s="141">
        <x:v>390000</x:v>
      </x:c>
      <x:c r="AE8" s="141">
        <x:v>390000</x:v>
      </x:c>
      <x:c r="AF8" s="141">
        <x:v>390000</x:v>
      </x:c>
      <x:c r="AG8" s="142">
        <x:v>390000</x:v>
      </x:c>
    </x:row>
    <x:row r="9" spans="2:33" ht="45" customHeight="1">
      <x:c r="B9" s="168">
        <x:v>2018</x:v>
      </x:c>
      <x:c r="C9" s="99">
        <x:v>0</x:v>
      </x:c>
      <x:c r="D9" s="21">
        <x:v>30000</x:v>
      </x:c>
      <x:c r="E9" s="21">
        <x:f t="shared" ref="E9:W9" si="0">D9+30000</x:f>
        <x:v>60000</x:v>
      </x:c>
      <x:c r="F9" s="21">
        <x:f t="shared" si="0"/>
        <x:v>90000</x:v>
      </x:c>
      <x:c r="G9" s="21">
        <x:f t="shared" si="0"/>
        <x:v>120000</x:v>
      </x:c>
      <x:c r="H9" s="21">
        <x:f t="shared" si="0"/>
        <x:v>150000</x:v>
      </x:c>
      <x:c r="I9" s="21">
        <x:f t="shared" si="0"/>
        <x:v>180000</x:v>
      </x:c>
      <x:c r="J9" s="21">
        <x:f t="shared" si="0"/>
        <x:v>210000</x:v>
      </x:c>
      <x:c r="K9" s="21">
        <x:f t="shared" si="0"/>
        <x:v>240000</x:v>
      </x:c>
      <x:c r="L9" s="21">
        <x:f t="shared" si="0"/>
        <x:v>270000</x:v>
      </x:c>
      <x:c r="M9" s="21">
        <x:f t="shared" si="0"/>
        <x:v>300000</x:v>
      </x:c>
      <x:c r="N9" s="21">
        <x:f t="shared" si="0"/>
        <x:v>330000</x:v>
      </x:c>
      <x:c r="O9" s="21">
        <x:f t="shared" si="0"/>
        <x:v>360000</x:v>
      </x:c>
      <x:c r="P9" s="21">
        <x:f t="shared" si="0"/>
        <x:v>390000</x:v>
      </x:c>
      <x:c r="Q9" s="21">
        <x:f t="shared" si="0"/>
        <x:v>420000</x:v>
      </x:c>
      <x:c r="R9" s="21">
        <x:f t="shared" si="0"/>
        <x:v>450000</x:v>
      </x:c>
      <x:c r="S9" s="21">
        <x:f t="shared" si="0"/>
        <x:v>480000</x:v>
      </x:c>
      <x:c r="T9" s="21">
        <x:f t="shared" si="0"/>
        <x:v>510000</x:v>
      </x:c>
      <x:c r="U9" s="21">
        <x:f t="shared" si="0"/>
        <x:v>540000</x:v>
      </x:c>
      <x:c r="V9" s="21">
        <x:f t="shared" si="0"/>
        <x:v>570000</x:v>
      </x:c>
      <x:c r="W9" s="141">
        <x:f t="shared" si="0"/>
        <x:v>600000</x:v>
      </x:c>
      <x:c r="X9" s="141">
        <x:v>600000</x:v>
      </x:c>
      <x:c r="Y9" s="141">
        <x:v>600000</x:v>
      </x:c>
      <x:c r="Z9" s="141">
        <x:v>600000</x:v>
      </x:c>
      <x:c r="AA9" s="141">
        <x:v>600000</x:v>
      </x:c>
      <x:c r="AB9" s="141">
        <x:v>600000</x:v>
      </x:c>
      <x:c r="AC9" s="141">
        <x:v>600000</x:v>
      </x:c>
      <x:c r="AD9" s="141">
        <x:v>600000</x:v>
      </x:c>
      <x:c r="AE9" s="141">
        <x:v>600000</x:v>
      </x:c>
      <x:c r="AF9" s="141">
        <x:v>600000</x:v>
      </x:c>
      <x:c r="AG9" s="142">
        <x:v>600000</x:v>
      </x:c>
    </x:row>
    <x:row r="10" spans="2:33" s="7" customFormat="1" ht="45" customHeight="1">
      <x:c r="B10" s="169" t="s">
        <x:v>8</x:v>
      </x:c>
      <x:c r="C10" s="99">
        <x:v>0</x:v>
      </x:c>
      <x:c r="D10" s="21">
        <x:v>32500</x:v>
      </x:c>
      <x:c r="E10" s="21">
        <x:v>65000</x:v>
      </x:c>
      <x:c r="F10" s="21">
        <x:v>97500</x:v>
      </x:c>
      <x:c r="G10" s="21">
        <x:v>130000</x:v>
      </x:c>
      <x:c r="H10" s="21">
        <x:v>162500</x:v>
      </x:c>
      <x:c r="I10" s="21">
        <x:v>195000</x:v>
      </x:c>
      <x:c r="J10" s="21">
        <x:v>227500</x:v>
      </x:c>
      <x:c r="K10" s="21">
        <x:v>260000</x:v>
      </x:c>
      <x:c r="L10" s="21">
        <x:v>292500</x:v>
      </x:c>
      <x:c r="M10" s="21">
        <x:v>325000</x:v>
      </x:c>
      <x:c r="N10" s="21">
        <x:v>357500</x:v>
      </x:c>
      <x:c r="O10" s="21">
        <x:v>390000</x:v>
      </x:c>
      <x:c r="P10" s="21">
        <x:v>422500</x:v>
      </x:c>
      <x:c r="Q10" s="21">
        <x:v>455000</x:v>
      </x:c>
      <x:c r="R10" s="21">
        <x:v>487500</x:v>
      </x:c>
      <x:c r="S10" s="21">
        <x:v>520000</x:v>
      </x:c>
      <x:c r="T10" s="21">
        <x:v>552500</x:v>
      </x:c>
      <x:c r="U10" s="21">
        <x:v>585000</x:v>
      </x:c>
      <x:c r="V10" s="21">
        <x:v>617500</x:v>
      </x:c>
      <x:c r="W10" s="141">
        <x:v>650000</x:v>
      </x:c>
      <x:c r="X10" s="141">
        <x:v>650000</x:v>
      </x:c>
      <x:c r="Y10" s="141">
        <x:v>650000</x:v>
      </x:c>
      <x:c r="Z10" s="141">
        <x:v>650000</x:v>
      </x:c>
      <x:c r="AA10" s="141">
        <x:v>650000</x:v>
      </x:c>
      <x:c r="AB10" s="141">
        <x:v>650000</x:v>
      </x:c>
      <x:c r="AC10" s="141">
        <x:v>650000</x:v>
      </x:c>
      <x:c r="AD10" s="141">
        <x:v>650000</x:v>
      </x:c>
      <x:c r="AE10" s="141">
        <x:v>650000</x:v>
      </x:c>
      <x:c r="AF10" s="141">
        <x:v>650000</x:v>
      </x:c>
      <x:c r="AG10" s="142">
        <x:v>650000</x:v>
      </x:c>
    </x:row>
    <x:row r="11" spans="2:33" s="7" customFormat="1" ht="45" customHeight="1">
      <x:c r="B11" s="169" t="s">
        <x:v>5</x:v>
      </x:c>
      <x:c r="C11" s="99"/>
      <x:c r="D11" s="21">
        <x:v>34000</x:v>
      </x:c>
      <x:c r="E11" s="21">
        <x:v>68000</x:v>
      </x:c>
      <x:c r="F11" s="21">
        <x:v>102000</x:v>
      </x:c>
      <x:c r="G11" s="21">
        <x:v>136000</x:v>
      </x:c>
      <x:c r="H11" s="21">
        <x:v>170000</x:v>
      </x:c>
      <x:c r="I11" s="21">
        <x:v>204000</x:v>
      </x:c>
      <x:c r="J11" s="21">
        <x:v>238000</x:v>
      </x:c>
      <x:c r="K11" s="21">
        <x:v>272000</x:v>
      </x:c>
      <x:c r="L11" s="21">
        <x:v>306000</x:v>
      </x:c>
      <x:c r="M11" s="21">
        <x:v>340000</x:v>
      </x:c>
      <x:c r="N11" s="21">
        <x:v>374000</x:v>
      </x:c>
      <x:c r="O11" s="21">
        <x:v>408000</x:v>
      </x:c>
      <x:c r="P11" s="21">
        <x:v>442000</x:v>
      </x:c>
      <x:c r="Q11" s="21">
        <x:v>476000</x:v>
      </x:c>
      <x:c r="R11" s="21">
        <x:v>510000</x:v>
      </x:c>
      <x:c r="S11" s="21">
        <x:v>544000</x:v>
      </x:c>
      <x:c r="T11" s="21">
        <x:v>578000</x:v>
      </x:c>
      <x:c r="U11" s="21">
        <x:v>612000</x:v>
      </x:c>
      <x:c r="V11" s="21">
        <x:v>646000</x:v>
      </x:c>
      <x:c r="W11" s="141">
        <x:v>680000</x:v>
      </x:c>
      <x:c r="X11" s="141">
        <x:v>680000</x:v>
      </x:c>
      <x:c r="Y11" s="141">
        <x:v>680000</x:v>
      </x:c>
      <x:c r="Z11" s="141">
        <x:v>680000</x:v>
      </x:c>
      <x:c r="AA11" s="141">
        <x:v>680000</x:v>
      </x:c>
      <x:c r="AB11" s="141">
        <x:v>680000</x:v>
      </x:c>
      <x:c r="AC11" s="141">
        <x:v>680000</x:v>
      </x:c>
      <x:c r="AD11" s="141">
        <x:v>680000</x:v>
      </x:c>
      <x:c r="AE11" s="141">
        <x:v>680000</x:v>
      </x:c>
      <x:c r="AF11" s="141">
        <x:v>680000</x:v>
      </x:c>
      <x:c r="AG11" s="142">
        <x:v>680000</x:v>
      </x:c>
    </x:row>
    <x:row r="12" spans="2:33" s="7" customFormat="1" ht="45" customHeight="1">
      <x:c r="B12" s="168" t="s">
        <x:v>109</x:v>
      </x:c>
      <x:c r="C12" s="5"/>
      <x:c r="D12" s="135">
        <x:v>35000</x:v>
      </x:c>
      <x:c r="E12" s="135">
        <x:f>D12*2</x:f>
        <x:v>70000</x:v>
      </x:c>
      <x:c r="F12" s="135">
        <x:f>E12+35000</x:f>
        <x:v>105000</x:v>
      </x:c>
      <x:c r="G12" s="135">
        <x:f t="shared" ref="G12:W12" si="1">F12+35000</x:f>
        <x:v>140000</x:v>
      </x:c>
      <x:c r="H12" s="135">
        <x:f t="shared" si="1"/>
        <x:v>175000</x:v>
      </x:c>
      <x:c r="I12" s="135">
        <x:f t="shared" si="1"/>
        <x:v>210000</x:v>
      </x:c>
      <x:c r="J12" s="135">
        <x:f t="shared" si="1"/>
        <x:v>245000</x:v>
      </x:c>
      <x:c r="K12" s="135">
        <x:f t="shared" si="1"/>
        <x:v>280000</x:v>
      </x:c>
      <x:c r="L12" s="135">
        <x:f t="shared" si="1"/>
        <x:v>315000</x:v>
      </x:c>
      <x:c r="M12" s="135">
        <x:f t="shared" si="1"/>
        <x:v>350000</x:v>
      </x:c>
      <x:c r="N12" s="137">
        <x:f t="shared" si="1"/>
        <x:v>385000</x:v>
      </x:c>
      <x:c r="O12" s="135">
        <x:f>N12+35000</x:f>
        <x:v>420000</x:v>
      </x:c>
      <x:c r="P12" s="135">
        <x:f t="shared" si="1"/>
        <x:v>455000</x:v>
      </x:c>
      <x:c r="Q12" s="135">
        <x:f t="shared" si="1"/>
        <x:v>490000</x:v>
      </x:c>
      <x:c r="R12" s="135">
        <x:f t="shared" si="1"/>
        <x:v>525000</x:v>
      </x:c>
      <x:c r="S12" s="135">
        <x:f t="shared" si="1"/>
        <x:v>560000</x:v>
      </x:c>
      <x:c r="T12" s="135">
        <x:f t="shared" si="1"/>
        <x:v>595000</x:v>
      </x:c>
      <x:c r="U12" s="135">
        <x:f t="shared" si="1"/>
        <x:v>630000</x:v>
      </x:c>
      <x:c r="V12" s="135">
        <x:f t="shared" si="1"/>
        <x:v>665000</x:v>
      </x:c>
      <x:c r="W12" s="136">
        <x:f t="shared" si="1"/>
        <x:v>700000</x:v>
      </x:c>
      <x:c r="X12" s="136">
        <x:v>700000</x:v>
      </x:c>
      <x:c r="Y12" s="136">
        <x:v>700000</x:v>
      </x:c>
      <x:c r="Z12" s="136">
        <x:v>700000</x:v>
      </x:c>
      <x:c r="AA12" s="136">
        <x:v>700000</x:v>
      </x:c>
      <x:c r="AB12" s="136">
        <x:v>700000</x:v>
      </x:c>
      <x:c r="AC12" s="136">
        <x:v>700000</x:v>
      </x:c>
      <x:c r="AD12" s="136">
        <x:v>700000</x:v>
      </x:c>
      <x:c r="AE12" s="136">
        <x:v>700000</x:v>
      </x:c>
      <x:c r="AF12" s="136">
        <x:v>700000</x:v>
      </x:c>
      <x:c r="AG12" s="170">
        <x:v>700000</x:v>
      </x:c>
    </x:row>
    <x:row r="13" spans="2:33" s="7" customFormat="1" ht="45" customHeight="1">
      <x:c r="B13" s="169" t="s">
        <x:v>93</x:v>
      </x:c>
      <x:c r="C13" s="5"/>
      <x:c r="D13" s="135">
        <x:v>38000</x:v>
      </x:c>
      <x:c r="E13" s="135">
        <x:f>D13*2</x:f>
        <x:v>76000</x:v>
      </x:c>
      <x:c r="F13" s="135">
        <x:f>E13+38000</x:f>
        <x:v>114000</x:v>
      </x:c>
      <x:c r="G13" s="135">
        <x:f>F13+38000</x:f>
        <x:v>152000</x:v>
      </x:c>
      <x:c r="H13" s="135">
        <x:f t="shared" ref="H13:W13" si="2">G13+38000</x:f>
        <x:v>190000</x:v>
      </x:c>
      <x:c r="I13" s="135">
        <x:f t="shared" si="2"/>
        <x:v>228000</x:v>
      </x:c>
      <x:c r="J13" s="135">
        <x:f t="shared" si="2"/>
        <x:v>266000</x:v>
      </x:c>
      <x:c r="K13" s="135">
        <x:f t="shared" si="2"/>
        <x:v>304000</x:v>
      </x:c>
      <x:c r="L13" s="135">
        <x:f t="shared" si="2"/>
        <x:v>342000</x:v>
      </x:c>
      <x:c r="M13" s="135">
        <x:f t="shared" si="2"/>
        <x:v>380000</x:v>
      </x:c>
      <x:c r="N13" s="135">
        <x:f t="shared" si="2"/>
        <x:v>418000</x:v>
      </x:c>
      <x:c r="O13" s="135">
        <x:f t="shared" si="2"/>
        <x:v>456000</x:v>
      </x:c>
      <x:c r="P13" s="135">
        <x:f t="shared" si="2"/>
        <x:v>494000</x:v>
      </x:c>
      <x:c r="Q13" s="135">
        <x:f t="shared" si="2"/>
        <x:v>532000</x:v>
      </x:c>
      <x:c r="R13" s="135">
        <x:f t="shared" si="2"/>
        <x:v>570000</x:v>
      </x:c>
      <x:c r="S13" s="135">
        <x:f t="shared" si="2"/>
        <x:v>608000</x:v>
      </x:c>
      <x:c r="T13" s="135">
        <x:f t="shared" si="2"/>
        <x:v>646000</x:v>
      </x:c>
      <x:c r="U13" s="135">
        <x:f t="shared" si="2"/>
        <x:v>684000</x:v>
      </x:c>
      <x:c r="V13" s="135">
        <x:f t="shared" si="2"/>
        <x:v>722000</x:v>
      </x:c>
      <x:c r="W13" s="135">
        <x:f t="shared" si="2"/>
        <x:v>760000</x:v>
      </x:c>
      <x:c r="X13" s="136">
        <x:v>760000</x:v>
      </x:c>
      <x:c r="Y13" s="136">
        <x:v>760000</x:v>
      </x:c>
      <x:c r="Z13" s="136">
        <x:v>760000</x:v>
      </x:c>
      <x:c r="AA13" s="136">
        <x:v>760000</x:v>
      </x:c>
      <x:c r="AB13" s="136">
        <x:v>760000</x:v>
      </x:c>
      <x:c r="AC13" s="136">
        <x:v>760000</x:v>
      </x:c>
      <x:c r="AD13" s="136">
        <x:v>760000</x:v>
      </x:c>
      <x:c r="AE13" s="136">
        <x:v>760000</x:v>
      </x:c>
      <x:c r="AF13" s="136">
        <x:v>760000</x:v>
      </x:c>
      <x:c r="AG13" s="170">
        <x:v>760000</x:v>
      </x:c>
    </x:row>
    <x:row r="14" spans="2:33" ht="45" customHeight="1">
      <x:c r="B14" s="171" t="s">
        <x:v>124</x:v>
      </x:c>
      <x:c r="C14" s="172"/>
      <x:c r="D14" s="173">
        <x:v>39000</x:v>
      </x:c>
      <x:c r="E14" s="173">
        <x:f>D14*2</x:f>
        <x:v>78000</x:v>
      </x:c>
      <x:c r="F14" s="173">
        <x:f>E14+39000</x:f>
        <x:v>117000</x:v>
      </x:c>
      <x:c r="G14" s="173">
        <x:f t="shared" ref="G14:X16" si="3">F14+39000</x:f>
        <x:v>156000</x:v>
      </x:c>
      <x:c r="H14" s="173">
        <x:f t="shared" si="3"/>
        <x:v>195000</x:v>
      </x:c>
      <x:c r="I14" s="173">
        <x:f t="shared" si="3"/>
        <x:v>234000</x:v>
      </x:c>
      <x:c r="J14" s="173">
        <x:f t="shared" si="3"/>
        <x:v>273000</x:v>
      </x:c>
      <x:c r="K14" s="173">
        <x:f t="shared" si="3"/>
        <x:v>312000</x:v>
      </x:c>
      <x:c r="L14" s="178">
        <x:f>K14+39000</x:f>
        <x:v>351000</x:v>
      </x:c>
      <x:c r="M14" s="181">
        <x:f t="shared" si="3"/>
        <x:v>390000</x:v>
      </x:c>
      <x:c r="N14" s="173">
        <x:f t="shared" si="3"/>
        <x:v>429000</x:v>
      </x:c>
      <x:c r="O14" s="173">
        <x:f t="shared" si="3"/>
        <x:v>468000</x:v>
      </x:c>
      <x:c r="P14" s="173">
        <x:f t="shared" si="3"/>
        <x:v>507000</x:v>
      </x:c>
      <x:c r="Q14" s="173">
        <x:f t="shared" si="3"/>
        <x:v>546000</x:v>
      </x:c>
      <x:c r="R14" s="173">
        <x:f t="shared" si="3"/>
        <x:v>585000</x:v>
      </x:c>
      <x:c r="S14" s="173">
        <x:f t="shared" si="3"/>
        <x:v>624000</x:v>
      </x:c>
      <x:c r="T14" s="173">
        <x:f t="shared" si="3"/>
        <x:v>663000</x:v>
      </x:c>
      <x:c r="U14" s="173">
        <x:f t="shared" si="3"/>
        <x:v>702000</x:v>
      </x:c>
      <x:c r="V14" s="173">
        <x:f t="shared" si="3"/>
        <x:v>741000</x:v>
      </x:c>
      <x:c r="W14" s="173">
        <x:f t="shared" si="3"/>
        <x:v>780000</x:v>
      </x:c>
      <x:c r="X14" s="173">
        <x:f t="shared" si="3"/>
        <x:v>819000</x:v>
      </x:c>
      <x:c r="Y14" s="174">
        <x:v>819000</x:v>
      </x:c>
      <x:c r="Z14" s="174">
        <x:v>819000</x:v>
      </x:c>
      <x:c r="AA14" s="174">
        <x:v>819000</x:v>
      </x:c>
      <x:c r="AB14" s="174">
        <x:v>819000</x:v>
      </x:c>
      <x:c r="AC14" s="174">
        <x:v>819000</x:v>
      </x:c>
      <x:c r="AD14" s="174">
        <x:v>819000</x:v>
      </x:c>
      <x:c r="AE14" s="174">
        <x:v>819000</x:v>
      </x:c>
      <x:c r="AF14" s="174">
        <x:v>819000</x:v>
      </x:c>
      <x:c r="AG14" s="175">
        <x:v>819000</x:v>
      </x:c>
    </x:row>
    <x:row r="15" spans="2:33" ht="45" customHeight="1">
      <x:c r="B15" s="171" t="s">
        <x:v>115</x:v>
      </x:c>
      <x:c r="C15" s="172"/>
      <x:c r="D15" s="173">
        <x:v>39000</x:v>
      </x:c>
      <x:c r="E15" s="173">
        <x:f>D15*2</x:f>
        <x:v>78000</x:v>
      </x:c>
      <x:c r="F15" s="173">
        <x:f>E15+39000</x:f>
        <x:v>117000</x:v>
      </x:c>
      <x:c r="G15" s="173">
        <x:f t="shared" si="3"/>
        <x:v>156000</x:v>
      </x:c>
      <x:c r="H15" s="173">
        <x:f t="shared" si="3"/>
        <x:v>195000</x:v>
      </x:c>
      <x:c r="I15" s="173">
        <x:f t="shared" si="3"/>
        <x:v>234000</x:v>
      </x:c>
      <x:c r="J15" s="173">
        <x:f t="shared" si="3"/>
        <x:v>273000</x:v>
      </x:c>
      <x:c r="K15" s="173">
        <x:f t="shared" si="3"/>
        <x:v>312000</x:v>
      </x:c>
      <x:c r="L15" s="178">
        <x:f>K15+39000</x:f>
        <x:v>351000</x:v>
      </x:c>
      <x:c r="M15" s="181">
        <x:f t="shared" si="3"/>
        <x:v>390000</x:v>
      </x:c>
      <x:c r="N15" s="173">
        <x:f t="shared" si="3"/>
        <x:v>429000</x:v>
      </x:c>
      <x:c r="O15" s="173">
        <x:f t="shared" si="3"/>
        <x:v>468000</x:v>
      </x:c>
      <x:c r="P15" s="173">
        <x:f t="shared" si="3"/>
        <x:v>507000</x:v>
      </x:c>
      <x:c r="Q15" s="173">
        <x:f t="shared" si="3"/>
        <x:v>546000</x:v>
      </x:c>
      <x:c r="R15" s="173">
        <x:f t="shared" si="3"/>
        <x:v>585000</x:v>
      </x:c>
      <x:c r="S15" s="173">
        <x:f t="shared" si="3"/>
        <x:v>624000</x:v>
      </x:c>
      <x:c r="T15" s="173">
        <x:f t="shared" si="3"/>
        <x:v>663000</x:v>
      </x:c>
      <x:c r="U15" s="173">
        <x:f t="shared" si="3"/>
        <x:v>702000</x:v>
      </x:c>
      <x:c r="V15" s="173">
        <x:f t="shared" si="3"/>
        <x:v>741000</x:v>
      </x:c>
      <x:c r="W15" s="173">
        <x:f t="shared" si="3"/>
        <x:v>780000</x:v>
      </x:c>
      <x:c r="X15" s="173">
        <x:f t="shared" si="3"/>
        <x:v>819000</x:v>
      </x:c>
      <x:c r="Y15" s="174">
        <x:v>819000</x:v>
      </x:c>
      <x:c r="Z15" s="174">
        <x:v>819000</x:v>
      </x:c>
      <x:c r="AA15" s="174">
        <x:v>819000</x:v>
      </x:c>
      <x:c r="AB15" s="174">
        <x:v>819000</x:v>
      </x:c>
      <x:c r="AC15" s="174">
        <x:v>819000</x:v>
      </x:c>
      <x:c r="AD15" s="174">
        <x:v>819000</x:v>
      </x:c>
      <x:c r="AE15" s="174">
        <x:v>819000</x:v>
      </x:c>
      <x:c r="AF15" s="174">
        <x:v>819000</x:v>
      </x:c>
      <x:c r="AG15" s="175">
        <x:v>819000</x:v>
      </x:c>
    </x:row>
    <x:row r="16" spans="2:33" ht="45" customHeight="1">
      <x:c r="B16" s="171" t="s">
        <x:v>103</x:v>
      </x:c>
      <x:c r="C16" s="172"/>
      <x:c r="D16" s="173">
        <x:v>39000</x:v>
      </x:c>
      <x:c r="E16" s="173">
        <x:f>D16*2</x:f>
        <x:v>78000</x:v>
      </x:c>
      <x:c r="F16" s="173">
        <x:f>E16+39000</x:f>
        <x:v>117000</x:v>
      </x:c>
      <x:c r="G16" s="173">
        <x:f t="shared" si="3"/>
        <x:v>156000</x:v>
      </x:c>
      <x:c r="H16" s="173">
        <x:f t="shared" si="3"/>
        <x:v>195000</x:v>
      </x:c>
      <x:c r="I16" s="173">
        <x:f t="shared" si="3"/>
        <x:v>234000</x:v>
      </x:c>
      <x:c r="J16" s="173">
        <x:f t="shared" si="3"/>
        <x:v>273000</x:v>
      </x:c>
      <x:c r="K16" s="173">
        <x:f t="shared" si="3"/>
        <x:v>312000</x:v>
      </x:c>
      <x:c r="L16" s="178">
        <x:f>K16+39000</x:f>
        <x:v>351000</x:v>
      </x:c>
      <x:c r="M16" s="181">
        <x:f t="shared" si="3"/>
        <x:v>390000</x:v>
      </x:c>
      <x:c r="N16" s="176">
        <x:f t="shared" si="3"/>
        <x:v>429000</x:v>
      </x:c>
      <x:c r="O16" s="173">
        <x:f t="shared" si="3"/>
        <x:v>468000</x:v>
      </x:c>
      <x:c r="P16" s="173">
        <x:f t="shared" si="3"/>
        <x:v>507000</x:v>
      </x:c>
      <x:c r="Q16" s="173">
        <x:f t="shared" si="3"/>
        <x:v>546000</x:v>
      </x:c>
      <x:c r="R16" s="173">
        <x:f t="shared" si="3"/>
        <x:v>585000</x:v>
      </x:c>
      <x:c r="S16" s="173">
        <x:f t="shared" si="3"/>
        <x:v>624000</x:v>
      </x:c>
      <x:c r="T16" s="173">
        <x:f t="shared" si="3"/>
        <x:v>663000</x:v>
      </x:c>
      <x:c r="U16" s="173">
        <x:f t="shared" si="3"/>
        <x:v>702000</x:v>
      </x:c>
      <x:c r="V16" s="173">
        <x:f t="shared" si="3"/>
        <x:v>741000</x:v>
      </x:c>
      <x:c r="W16" s="173">
        <x:f t="shared" si="3"/>
        <x:v>780000</x:v>
      </x:c>
      <x:c r="X16" s="173">
        <x:f t="shared" si="3"/>
        <x:v>819000</x:v>
      </x:c>
      <x:c r="Y16" s="174">
        <x:v>858000</x:v>
      </x:c>
      <x:c r="Z16" s="174">
        <x:v>858000</x:v>
      </x:c>
      <x:c r="AA16" s="174">
        <x:v>858000</x:v>
      </x:c>
      <x:c r="AB16" s="174">
        <x:v>858000</x:v>
      </x:c>
      <x:c r="AC16" s="174">
        <x:v>858000</x:v>
      </x:c>
      <x:c r="AD16" s="174">
        <x:v>858000</x:v>
      </x:c>
      <x:c r="AE16" s="174">
        <x:v>858000</x:v>
      </x:c>
      <x:c r="AF16" s="174">
        <x:v>858000</x:v>
      </x:c>
      <x:c r="AG16" s="174">
        <x:v>858000</x:v>
      </x:c>
    </x:row>
    <x:row r="17" ht="45" customHeight="1"/>
    <x:row r="18" ht="45" customHeight="1"/>
    <x:row r="19" ht="27.75" customHeight="1"/>
    <x:row r="20" ht="27.75" customHeight="1"/>
  </x:sheetData>
  <x:mergeCells count="1">
    <x:mergeCell ref="B2:E2"/>
  </x:mergeCells>
  <x:conditionalFormatting sqref="C9:C9">
    <x:cfRule type="expression" dxfId="12" priority="8">
      <x:formula>MOD(C9/10000-1,4)=2</x:formula>
    </x:cfRule>
  </x:conditionalFormatting>
  <x:conditionalFormatting sqref="C10:C10">
    <x:cfRule type="expression" dxfId="12" priority="7">
      <x:formula>MOD(C10/10000-1,4)=2</x:formula>
    </x:cfRule>
  </x:conditionalFormatting>
  <x:conditionalFormatting sqref="D11:AG11">
    <x:cfRule type="expression" dxfId="12" priority="6">
      <x:formula>MOD(#REF!/10000-1,4)=2</x:formula>
    </x:cfRule>
  </x:conditionalFormatting>
  <x:conditionalFormatting sqref="C4:C7">
    <x:cfRule type="expression" dxfId="14" priority="4">
      <x:formula>MOD(C4/10000-1,4)=2</x:formula>
    </x:cfRule>
  </x:conditionalFormatting>
  <x:conditionalFormatting sqref="C8:AG8">
    <x:cfRule type="expression" dxfId="13" priority="3">
      <x:formula>MOD(C8/10000-1,4)=2</x:formula>
    </x:cfRule>
  </x:conditionalFormatting>
  <x:conditionalFormatting sqref="D4:AG7">
    <x:cfRule type="expression" dxfId="12" priority="2">
      <x:formula>MOD(#REF!/10000-1,4)=2</x:formula>
    </x:cfRule>
  </x:conditionalFormatting>
  <x:conditionalFormatting sqref="D9:AG10">
    <x:cfRule type="expression" dxfId="12" priority="1">
      <x:formula>MOD(#REF!/10000-1,4)=2</x:formula>
    </x:cfRule>
  </x:conditionalFormatting>
  <x:pageMargins left="0.2322222292423248291" right="0.05333333462476730347" top="0.98430556058883666992" bottom="0.98430556058883666992" header="0.51138889789581298828" footer="0.51138889789581298828"/>
  <x:pageSetup paperSize="9" scale="37" firstPageNumber="1" fitToWidth="1" fitToHeight="1" orientation="landscape" usePrinterDefaults="1" blackAndWhite="0" draft="0" useFirstPageNumber="0" horizontalDpi="0" verticalDpi="0" copies="0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0">
    <x:tabColor rgb="ff000000"/>
    <x:pageSetUpPr autoPageBreaks="1" fitToPage="1"/>
  </x:sheetPr>
  <x:dimension ref="B2:AF27"/>
  <x:sheetViews>
    <x:sheetView view="pageBreakPreview" topLeftCell="A1" zoomScaleNormal="100" zoomScaleSheetLayoutView="100" workbookViewId="0">
      <x:pane xSplit="3" ySplit="4" topLeftCell="D6" activePane="bottomRight" state="frozen"/>
      <x:selection pane="bottomRight" activeCell="AF11" activeCellId="0" sqref="AF11:AF17"/>
    </x:sheetView>
  </x:sheetViews>
  <x:sheetFormatPr defaultColWidth="8.88671875" defaultRowHeight="16.39999999999999857891"/>
  <x:cols>
    <x:col min="1" max="1" width="2.44140625" style="4" customWidth="1"/>
    <x:col min="2" max="2" width="5.109375" style="4" customWidth="1"/>
    <x:col min="3" max="3" width="8.88671875" style="7" bestFit="1" customWidth="1"/>
    <x:col min="4" max="4" width="11.6640625" style="7" customWidth="1"/>
    <x:col min="5" max="5" width="11.6640625" style="4" bestFit="1" customWidth="1"/>
    <x:col min="6" max="6" width="8.109375" style="4" customWidth="1"/>
    <x:col min="7" max="12" width="9.6015625" style="4" customWidth="1"/>
    <x:col min="13" max="13" width="12.30078125" style="4" customWidth="1"/>
    <x:col min="14" max="15" width="8.109375" style="4" customWidth="1"/>
    <x:col min="16" max="16" width="12" style="4" customWidth="1"/>
    <x:col min="17" max="18" width="8.88671875" style="4" hidden="1" bestFit="1" customWidth="1"/>
    <x:col min="19" max="19" width="10.33203125" style="4" hidden="1" bestFit="1" customWidth="1"/>
    <x:col min="20" max="30" width="8.88671875" style="4" hidden="1"/>
    <x:col min="31" max="31" width="0" style="4" hidden="1" customWidth="1"/>
    <x:col min="32" max="32" width="38.109375" style="4" customWidth="1"/>
    <x:col min="33" max="33" width="2" style="4" customWidth="1"/>
    <x:col min="34" max="16384" width="8.88671875" style="4"/>
  </x:cols>
  <x:sheetData>
    <x:row r="2" spans="2:2" ht="20.64999999999999857891">
      <x:c r="B2" s="47" t="s">
        <x:v>129</x:v>
      </x:c>
    </x:row>
    <x:row r="3" spans="2:32" s="26" customFormat="1" ht="24" customHeight="1">
      <x:c r="B3" s="202" t="s">
        <x:v>22</x:v>
      </x:c>
      <x:c r="C3" s="202" t="s">
        <x:v>12</x:v>
      </x:c>
      <x:c r="D3" s="203" t="s">
        <x:v>14</x:v>
      </x:c>
      <x:c r="E3" s="204" t="s">
        <x:v>65</x:v>
      </x:c>
      <x:c r="F3" s="205"/>
      <x:c r="G3" s="205"/>
      <x:c r="H3" s="205"/>
      <x:c r="I3" s="205"/>
      <x:c r="J3" s="205"/>
      <x:c r="K3" s="205"/>
      <x:c r="L3" s="204"/>
      <x:c r="M3" s="206"/>
      <x:c r="N3" s="207" t="s">
        <x:v>4</x:v>
      </x:c>
      <x:c r="O3" s="202" t="s">
        <x:v>6</x:v>
      </x:c>
      <x:c r="P3" s="202" t="s">
        <x:v>7</x:v>
      </x:c>
      <x:c r="Q3" s="210" t="s">
        <x:v>82</x:v>
      </x:c>
      <x:c r="R3" s="210" t="s">
        <x:v>97</x:v>
      </x:c>
      <x:c r="S3" s="211" t="s">
        <x:v>34</x:v>
      </x:c>
      <x:c r="T3" s="211"/>
      <x:c r="U3" s="211"/>
      <x:c r="V3" s="211"/>
      <x:c r="W3" s="211"/>
      <x:c r="X3" s="211"/>
      <x:c r="Y3" s="211"/>
      <x:c r="Z3" s="211"/>
      <x:c r="AA3" s="211"/>
      <x:c r="AB3" s="211"/>
      <x:c r="AC3" s="211"/>
      <x:c r="AD3" s="211"/>
      <x:c r="AE3" s="211"/>
      <x:c r="AF3" s="212" t="s">
        <x:v>10</x:v>
      </x:c>
    </x:row>
    <x:row r="4" spans="2:32" s="23" customFormat="1" ht="49.14999999999999857891">
      <x:c r="B4" s="202"/>
      <x:c r="C4" s="202"/>
      <x:c r="D4" s="203"/>
      <x:c r="E4" s="79" t="s">
        <x:v>17</x:v>
      </x:c>
      <x:c r="F4" s="80" t="s">
        <x:v>79</x:v>
      </x:c>
      <x:c r="G4" s="81" t="s">
        <x:v>77</x:v>
      </x:c>
      <x:c r="H4" s="80" t="s">
        <x:v>111</x:v>
      </x:c>
      <x:c r="I4" s="82" t="s">
        <x:v>80</x:v>
      </x:c>
      <x:c r="J4" s="82" t="s">
        <x:v>99</x:v>
      </x:c>
      <x:c r="K4" s="82" t="s">
        <x:v>117</x:v>
      </x:c>
      <x:c r="L4" s="184" t="s">
        <x:v>140</x:v>
      </x:c>
      <x:c r="M4" s="83" t="s">
        <x:v>50</x:v>
      </x:c>
      <x:c r="N4" s="208"/>
      <x:c r="O4" s="209"/>
      <x:c r="P4" s="209"/>
      <x:c r="Q4" s="210"/>
      <x:c r="R4" s="210"/>
      <x:c r="S4" s="84">
        <x:v>42795</x:v>
      </x:c>
      <x:c r="T4" s="84">
        <x:f t="shared" ref="T4:AD4" si="0">DATE(YEAR(S4),MONTH(S4)+1,1)</x:f>
        <x:v>42826</x:v>
      </x:c>
      <x:c r="U4" s="84">
        <x:f t="shared" si="0"/>
        <x:v>42856</x:v>
      </x:c>
      <x:c r="V4" s="84">
        <x:f t="shared" si="0"/>
        <x:v>42887</x:v>
      </x:c>
      <x:c r="W4" s="84">
        <x:f t="shared" si="0"/>
        <x:v>42917</x:v>
      </x:c>
      <x:c r="X4" s="84">
        <x:f t="shared" si="0"/>
        <x:v>42948</x:v>
      </x:c>
      <x:c r="Y4" s="84">
        <x:f t="shared" si="0"/>
        <x:v>42979</x:v>
      </x:c>
      <x:c r="Z4" s="84">
        <x:f t="shared" si="0"/>
        <x:v>43009</x:v>
      </x:c>
      <x:c r="AA4" s="84">
        <x:f t="shared" si="0"/>
        <x:v>43040</x:v>
      </x:c>
      <x:c r="AB4" s="84">
        <x:f t="shared" si="0"/>
        <x:v>43070</x:v>
      </x:c>
      <x:c r="AC4" s="84">
        <x:f t="shared" si="0"/>
        <x:v>43101</x:v>
      </x:c>
      <x:c r="AD4" s="84">
        <x:f t="shared" si="0"/>
        <x:v>43132</x:v>
      </x:c>
      <x:c r="AE4" s="85" t="s">
        <x:v>112</x:v>
      </x:c>
      <x:c r="AF4" s="212"/>
    </x:row>
    <x:row r="5" spans="2:32" s="22" customFormat="1" ht="24" hidden="1" customHeight="1">
      <x:c r="B5" s="34"/>
      <x:c r="C5" s="35"/>
      <x:c r="D5" s="70"/>
      <x:c r="E5" s="71"/>
      <x:c r="F5" s="72"/>
      <x:c r="G5" s="72"/>
      <x:c r="H5" s="72"/>
      <x:c r="I5" s="72"/>
      <x:c r="J5" s="72"/>
      <x:c r="K5" s="72"/>
      <x:c r="L5" s="182"/>
      <x:c r="M5" s="73"/>
      <x:c r="N5" s="74"/>
      <x:c r="O5" s="34"/>
      <x:c r="P5" s="34"/>
      <x:c r="Q5" s="34"/>
      <x:c r="R5" s="34"/>
      <x:c r="S5" s="36"/>
      <x:c r="T5" s="36"/>
      <x:c r="U5" s="36"/>
      <x:c r="V5" s="36"/>
      <x:c r="W5" s="36"/>
      <x:c r="X5" s="36"/>
      <x:c r="Y5" s="36"/>
      <x:c r="Z5" s="36"/>
      <x:c r="AA5" s="36"/>
      <x:c r="AB5" s="36"/>
      <x:c r="AC5" s="36"/>
      <x:c r="AD5" s="36"/>
      <x:c r="AE5" s="37"/>
      <x:c r="AF5" s="34"/>
    </x:row>
    <x:row r="6" spans="2:32" ht="24" customHeight="1">
      <x:c r="B6" s="5">
        <x:f t="shared" ref="B6:B18" si="1">ROW()-ROW($B$5)</x:f>
        <x:v>1</x:v>
      </x:c>
      <x:c r="C6" s="31"/>
      <x:c r="D6" s="13"/>
      <x:c r="E6" s="105"/>
      <x:c r="F6" s="76"/>
      <x:c r="G6" s="76"/>
      <x:c r="H6" s="106"/>
      <x:c r="I6" s="76"/>
      <x:c r="J6" s="76"/>
      <x:c r="K6" s="76"/>
      <x:c r="L6" s="183"/>
      <x:c r="M6" s="77">
        <x:f>SUM(E6:L6)</x:f>
        <x:v>0</x:v>
      </x:c>
      <x:c r="N6" s="78">
        <x:v>209</x:v>
      </x:c>
      <x:c r="O6" s="27">
        <x:f>ROUNDDOWN(M6/N6,0)</x:f>
        <x:v>0</x:v>
      </x:c>
      <x:c r="P6" s="27">
        <x:f>O6*8</x:f>
        <x:v>0</x:v>
      </x:c>
      <x:c r="Q6" s="45" t="e">
        <x:f>IF(#REF!="","",#REF!)</x:f>
        <x:v>#REF!</x:v>
      </x:c>
      <x:c r="R6" s="44" t="e">
        <x:f>IF(#REF!="","",#REF!)</x:f>
        <x:v>#REF!</x:v>
      </x:c>
      <x:c r="S6" s="33" t="e">
        <x:f>IF(#REF!="","",#REF!)</x:f>
        <x:v>#REF!</x:v>
      </x:c>
      <x:c r="T6" s="33" t="e">
        <x:f>IF(#REF!="","",#REF!)</x:f>
        <x:v>#REF!</x:v>
      </x:c>
      <x:c r="U6" s="33" t="e">
        <x:f>IF(#REF!="","",#REF!)</x:f>
        <x:v>#REF!</x:v>
      </x:c>
      <x:c r="V6" s="33" t="e">
        <x:f>IF(#REF!="","",#REF!)</x:f>
        <x:v>#REF!</x:v>
      </x:c>
      <x:c r="W6" s="33" t="e">
        <x:f>IF(#REF!="","",#REF!)</x:f>
        <x:v>#REF!</x:v>
      </x:c>
      <x:c r="X6" s="33" t="e">
        <x:f>IF(#REF!="","",#REF!)</x:f>
        <x:v>#REF!</x:v>
      </x:c>
      <x:c r="Y6" s="33" t="e">
        <x:f>IF(#REF!="","",#REF!)</x:f>
        <x:v>#REF!</x:v>
      </x:c>
      <x:c r="Z6" s="32" t="e">
        <x:f>IF(#REF!="","",#REF!)</x:f>
        <x:v>#REF!</x:v>
      </x:c>
      <x:c r="AA6" s="32" t="e">
        <x:f>IF(#REF!="","",#REF!)</x:f>
        <x:v>#REF!</x:v>
      </x:c>
      <x:c r="AB6" s="32" t="e">
        <x:f>IF(#REF!="","",#REF!)</x:f>
        <x:v>#REF!</x:v>
      </x:c>
      <x:c r="AC6" s="32" t="e">
        <x:f>IF(#REF!="","",#REF!)</x:f>
        <x:v>#REF!</x:v>
      </x:c>
      <x:c r="AD6" s="32" t="e">
        <x:f>IF(#REF!="","",#REF!)</x:f>
        <x:v>#REF!</x:v>
      </x:c>
      <x:c r="AE6" s="46" t="e">
        <x:f>IF(#REF!="","",#REF!)</x:f>
        <x:v>#REF!</x:v>
      </x:c>
      <x:c r="AF6" s="48"/>
    </x:row>
    <x:row r="7" spans="2:32" ht="24" customHeight="1">
      <x:c r="B7" s="5">
        <x:f t="shared" si="1"/>
        <x:v>2</x:v>
      </x:c>
      <x:c r="C7" s="31"/>
      <x:c r="D7" s="13"/>
      <x:c r="E7" s="105"/>
      <x:c r="F7" s="76"/>
      <x:c r="G7" s="76"/>
      <x:c r="H7" s="27"/>
      <x:c r="I7" s="76"/>
      <x:c r="J7" s="76"/>
      <x:c r="K7" s="76"/>
      <x:c r="L7" s="183"/>
      <x:c r="M7" s="77">
        <x:f>SUM(E7:L7)</x:f>
        <x:v>0</x:v>
      </x:c>
      <x:c r="N7" s="78">
        <x:v>156</x:v>
      </x:c>
      <x:c r="O7" s="27">
        <x:f>ROUNDDOWN(M7/N7,0)</x:f>
        <x:v>0</x:v>
      </x:c>
      <x:c r="P7" s="27">
        <x:f>O7*6</x:f>
        <x:v>0</x:v>
      </x:c>
      <x:c r="Q7" s="45" t="e">
        <x:f>IF(#REF!="","",#REF!)</x:f>
        <x:v>#REF!</x:v>
      </x:c>
      <x:c r="R7" s="44" t="e">
        <x:f>IF(#REF!="","",#REF!)</x:f>
        <x:v>#REF!</x:v>
      </x:c>
      <x:c r="S7" s="33" t="e">
        <x:f>IF(#REF!="","",#REF!)</x:f>
        <x:v>#REF!</x:v>
      </x:c>
      <x:c r="T7" s="33" t="e">
        <x:f>IF(#REF!="","",#REF!)</x:f>
        <x:v>#REF!</x:v>
      </x:c>
      <x:c r="U7" s="33" t="e">
        <x:f>IF(#REF!="","",#REF!)</x:f>
        <x:v>#REF!</x:v>
      </x:c>
      <x:c r="V7" s="33" t="e">
        <x:f>IF(#REF!="","",#REF!)</x:f>
        <x:v>#REF!</x:v>
      </x:c>
      <x:c r="W7" s="33" t="e">
        <x:f>IF(#REF!="","",#REF!)</x:f>
        <x:v>#REF!</x:v>
      </x:c>
      <x:c r="X7" s="33" t="e">
        <x:f>IF(#REF!="","",#REF!)</x:f>
        <x:v>#REF!</x:v>
      </x:c>
      <x:c r="Y7" s="33" t="e">
        <x:f>IF(#REF!="","",#REF!)</x:f>
        <x:v>#REF!</x:v>
      </x:c>
      <x:c r="Z7" s="32" t="e">
        <x:f>IF(#REF!="","",#REF!)</x:f>
        <x:v>#REF!</x:v>
      </x:c>
      <x:c r="AA7" s="32" t="e">
        <x:f>IF(#REF!="","",#REF!)</x:f>
        <x:v>#REF!</x:v>
      </x:c>
      <x:c r="AB7" s="32" t="e">
        <x:f>IF(#REF!="","",#REF!)</x:f>
        <x:v>#REF!</x:v>
      </x:c>
      <x:c r="AC7" s="32" t="e">
        <x:f>IF(#REF!="","",#REF!)</x:f>
        <x:v>#REF!</x:v>
      </x:c>
      <x:c r="AD7" s="32" t="e">
        <x:f>IF(#REF!="","",#REF!)</x:f>
        <x:v>#REF!</x:v>
      </x:c>
      <x:c r="AE7" s="46" t="e">
        <x:f>IF(#REF!="","",#REF!)</x:f>
        <x:v>#REF!</x:v>
      </x:c>
      <x:c r="AF7" s="48"/>
    </x:row>
    <x:row r="8" spans="2:32" ht="24" customHeight="1">
      <x:c r="B8" s="5">
        <x:f t="shared" si="1"/>
        <x:v>3</x:v>
      </x:c>
      <x:c r="C8" s="31"/>
      <x:c r="D8" s="13"/>
      <x:c r="E8" s="105"/>
      <x:c r="F8" s="76"/>
      <x:c r="G8" s="76"/>
      <x:c r="H8" s="27"/>
      <x:c r="I8" s="76"/>
      <x:c r="J8" s="76"/>
      <x:c r="K8" s="76"/>
      <x:c r="L8" s="183"/>
      <x:c r="M8" s="77">
        <x:f>SUM(E8:K8)</x:f>
        <x:v>0</x:v>
      </x:c>
      <x:c r="N8" s="78">
        <x:v>104</x:v>
      </x:c>
      <x:c r="O8" s="27">
        <x:f>ROUNDDOWN(M8/N8,0)</x:f>
        <x:v>0</x:v>
      </x:c>
      <x:c r="P8" s="27">
        <x:f>O8*4</x:f>
        <x:v>0</x:v>
      </x:c>
      <x:c r="Q8" s="45" t="e">
        <x:f>IF(#REF!="","",#REF!)</x:f>
        <x:v>#REF!</x:v>
      </x:c>
      <x:c r="R8" s="44" t="e">
        <x:f>IF(#REF!="","",#REF!)</x:f>
        <x:v>#REF!</x:v>
      </x:c>
      <x:c r="S8" s="33" t="e">
        <x:f>IF(#REF!="","",#REF!)</x:f>
        <x:v>#REF!</x:v>
      </x:c>
      <x:c r="T8" s="33" t="e">
        <x:f>IF(#REF!="","",#REF!)</x:f>
        <x:v>#REF!</x:v>
      </x:c>
      <x:c r="U8" s="33" t="e">
        <x:f>IF(#REF!="","",#REF!)</x:f>
        <x:v>#REF!</x:v>
      </x:c>
      <x:c r="V8" s="33" t="e">
        <x:f>IF(#REF!="","",#REF!)</x:f>
        <x:v>#REF!</x:v>
      </x:c>
      <x:c r="W8" s="33" t="e">
        <x:f>IF(#REF!="","",#REF!)</x:f>
        <x:v>#REF!</x:v>
      </x:c>
      <x:c r="X8" s="33" t="e">
        <x:f>IF(#REF!="","",#REF!)</x:f>
        <x:v>#REF!</x:v>
      </x:c>
      <x:c r="Y8" s="33" t="e">
        <x:f>IF(#REF!="","",#REF!)</x:f>
        <x:v>#REF!</x:v>
      </x:c>
      <x:c r="Z8" s="32" t="e">
        <x:f>IF(#REF!="","",#REF!)</x:f>
        <x:v>#REF!</x:v>
      </x:c>
      <x:c r="AA8" s="32" t="e">
        <x:f>IF(#REF!="","",#REF!)</x:f>
        <x:v>#REF!</x:v>
      </x:c>
      <x:c r="AB8" s="32" t="e">
        <x:f>IF(#REF!="","",#REF!)</x:f>
        <x:v>#REF!</x:v>
      </x:c>
      <x:c r="AC8" s="32" t="e">
        <x:f>IF(#REF!="","",#REF!)</x:f>
        <x:v>#REF!</x:v>
      </x:c>
      <x:c r="AD8" s="32" t="e">
        <x:f>IF(#REF!="","",#REF!)</x:f>
        <x:v>#REF!</x:v>
      </x:c>
      <x:c r="AE8" s="46" t="e">
        <x:f>IF(#REF!="","",#REF!)</x:f>
        <x:v>#REF!</x:v>
      </x:c>
      <x:c r="AF8" s="48"/>
    </x:row>
    <x:row r="9" spans="2:32" ht="24" customHeight="1">
      <x:c r="B9" s="5">
        <x:f t="shared" si="1"/>
        <x:v>4</x:v>
      </x:c>
      <x:c r="C9" s="31"/>
      <x:c r="D9" s="13"/>
      <x:c r="E9" s="105"/>
      <x:c r="F9" s="27"/>
      <x:c r="G9" s="27"/>
      <x:c r="H9" s="27"/>
      <x:c r="I9" s="27"/>
      <x:c r="J9" s="27"/>
      <x:c r="K9" s="27"/>
      <x:c r="L9" s="183"/>
      <x:c r="M9" s="77">
        <x:f>SUM(E9:K9)</x:f>
        <x:v>0</x:v>
      </x:c>
      <x:c r="N9" s="78">
        <x:v>209</x:v>
      </x:c>
      <x:c r="O9" s="27">
        <x:f>ROUNDDOWN(M9/N9,0)</x:f>
        <x:v>0</x:v>
      </x:c>
      <x:c r="P9" s="27">
        <x:f>O9*8</x:f>
        <x:v>0</x:v>
      </x:c>
      <x:c r="Q9" s="45" t="e">
        <x:f>IF(#REF!="","",#REF!)</x:f>
        <x:v>#REF!</x:v>
      </x:c>
      <x:c r="R9" s="44" t="e">
        <x:f>IF(#REF!="","",#REF!)</x:f>
        <x:v>#REF!</x:v>
      </x:c>
      <x:c r="S9" s="33" t="e">
        <x:f>IF(#REF!="","",#REF!)</x:f>
        <x:v>#REF!</x:v>
      </x:c>
      <x:c r="T9" s="33" t="e">
        <x:f>IF(#REF!="","",#REF!)</x:f>
        <x:v>#REF!</x:v>
      </x:c>
      <x:c r="U9" s="33" t="e">
        <x:f>IF(#REF!="","",#REF!)</x:f>
        <x:v>#REF!</x:v>
      </x:c>
      <x:c r="V9" s="33" t="e">
        <x:f>IF(#REF!="","",#REF!)</x:f>
        <x:v>#REF!</x:v>
      </x:c>
      <x:c r="W9" s="33" t="e">
        <x:f>IF(#REF!="","",#REF!)</x:f>
        <x:v>#REF!</x:v>
      </x:c>
      <x:c r="X9" s="33" t="e">
        <x:f>IF(#REF!="","",#REF!)</x:f>
        <x:v>#REF!</x:v>
      </x:c>
      <x:c r="Y9" s="33" t="e">
        <x:f>IF(#REF!="","",#REF!)</x:f>
        <x:v>#REF!</x:v>
      </x:c>
      <x:c r="Z9" s="32" t="e">
        <x:f>IF(#REF!="","",#REF!)</x:f>
        <x:v>#REF!</x:v>
      </x:c>
      <x:c r="AA9" s="32" t="e">
        <x:f>IF(#REF!="","",#REF!)</x:f>
        <x:v>#REF!</x:v>
      </x:c>
      <x:c r="AB9" s="32" t="e">
        <x:f>IF(#REF!="","",#REF!)</x:f>
        <x:v>#REF!</x:v>
      </x:c>
      <x:c r="AC9" s="32" t="e">
        <x:f>IF(#REF!="","",#REF!)</x:f>
        <x:v>#REF!</x:v>
      </x:c>
      <x:c r="AD9" s="32" t="e">
        <x:f>IF(#REF!="","",#REF!)</x:f>
        <x:v>#REF!</x:v>
      </x:c>
      <x:c r="AE9" s="46" t="e">
        <x:f>IF(#REF!="","",#REF!)</x:f>
        <x:v>#REF!</x:v>
      </x:c>
      <x:c r="AF9" s="48"/>
    </x:row>
    <x:row r="10" spans="2:32" ht="24" customHeight="1">
      <x:c r="B10" s="5">
        <x:f t="shared" si="1"/>
        <x:v>5</x:v>
      </x:c>
      <x:c r="C10" s="190"/>
      <x:c r="D10" s="13"/>
      <x:c r="E10" s="106"/>
      <x:c r="F10" s="27"/>
      <x:c r="G10" s="27"/>
      <x:c r="H10" s="27"/>
      <x:c r="I10" s="27"/>
      <x:c r="J10" s="27"/>
      <x:c r="K10" s="27"/>
      <x:c r="L10" s="183"/>
      <x:c r="M10" s="77">
        <x:f>SUM(E10:L10)</x:f>
        <x:v>0</x:v>
      </x:c>
      <x:c r="N10" s="78">
        <x:v>174</x:v>
      </x:c>
      <x:c r="O10" s="27">
        <x:f>ROUNDDOWN(M10/N10,0)</x:f>
        <x:v>0</x:v>
      </x:c>
      <x:c r="P10" s="27">
        <x:f>O10*6.67</x:f>
        <x:v>0</x:v>
      </x:c>
      <x:c r="Q10" s="45"/>
      <x:c r="R10" s="44"/>
      <x:c r="S10" s="33"/>
      <x:c r="T10" s="33"/>
      <x:c r="U10" s="33"/>
      <x:c r="V10" s="33"/>
      <x:c r="W10" s="33"/>
      <x:c r="X10" s="33"/>
      <x:c r="Y10" s="33"/>
      <x:c r="Z10" s="27"/>
      <x:c r="AA10" s="27"/>
      <x:c r="AB10" s="27"/>
      <x:c r="AC10" s="27"/>
      <x:c r="AD10" s="27"/>
      <x:c r="AE10" s="46"/>
      <x:c r="AF10" s="48"/>
    </x:row>
    <x:row r="11" spans="2:32" ht="24" customHeight="1">
      <x:c r="B11" s="5">
        <x:f t="shared" si="1"/>
        <x:v>6</x:v>
      </x:c>
      <x:c r="C11" s="31"/>
      <x:c r="D11" s="13"/>
      <x:c r="E11" s="105"/>
      <x:c r="F11" s="27"/>
      <x:c r="G11" s="27"/>
      <x:c r="H11" s="106"/>
      <x:c r="I11" s="27"/>
      <x:c r="J11" s="27"/>
      <x:c r="K11" s="27"/>
      <x:c r="L11" s="183"/>
      <x:c r="M11" s="77"/>
      <x:c r="N11" s="78"/>
      <x:c r="O11" s="27"/>
      <x:c r="P11" s="27"/>
      <x:c r="Q11" s="45"/>
      <x:c r="R11" s="44"/>
      <x:c r="S11" s="33"/>
      <x:c r="T11" s="33"/>
      <x:c r="U11" s="33"/>
      <x:c r="V11" s="33"/>
      <x:c r="W11" s="33"/>
      <x:c r="X11" s="33"/>
      <x:c r="Y11" s="33"/>
      <x:c r="Z11" s="32"/>
      <x:c r="AA11" s="32"/>
      <x:c r="AB11" s="32"/>
      <x:c r="AC11" s="32"/>
      <x:c r="AD11" s="32"/>
      <x:c r="AE11" s="46"/>
      <x:c r="AF11" s="48"/>
    </x:row>
    <x:row r="12" spans="2:32" ht="24" customHeight="1">
      <x:c r="B12" s="5">
        <x:f t="shared" si="1"/>
        <x:v>7</x:v>
      </x:c>
      <x:c r="C12" s="31"/>
      <x:c r="D12" s="186"/>
      <x:c r="E12" s="105"/>
      <x:c r="F12" s="27"/>
      <x:c r="G12" s="27"/>
      <x:c r="H12" s="106"/>
      <x:c r="I12" s="27"/>
      <x:c r="J12" s="27"/>
      <x:c r="K12" s="27"/>
      <x:c r="L12" s="183"/>
      <x:c r="M12" s="77">
        <x:f>SUM(E12:K12)</x:f>
        <x:v>0</x:v>
      </x:c>
      <x:c r="N12" s="78">
        <x:v>156</x:v>
      </x:c>
      <x:c r="O12" s="27">
        <x:f>ROUNDDOWN(M12/N12,0)</x:f>
        <x:v>0</x:v>
      </x:c>
      <x:c r="P12" s="27">
        <x:f>O12*6</x:f>
        <x:v>0</x:v>
      </x:c>
      <x:c r="Q12" s="45" t="e">
        <x:f>IF(#REF!="","",#REF!)</x:f>
        <x:v>#REF!</x:v>
      </x:c>
      <x:c r="R12" s="44" t="e">
        <x:f>IF(#REF!="","",#REF!)</x:f>
        <x:v>#REF!</x:v>
      </x:c>
      <x:c r="S12" s="33" t="e">
        <x:f>IF(#REF!="","",#REF!)</x:f>
        <x:v>#REF!</x:v>
      </x:c>
      <x:c r="T12" s="33" t="e">
        <x:f>IF(#REF!="","",#REF!)</x:f>
        <x:v>#REF!</x:v>
      </x:c>
      <x:c r="U12" s="33" t="e">
        <x:f>IF(#REF!="","",#REF!)</x:f>
        <x:v>#REF!</x:v>
      </x:c>
      <x:c r="V12" s="33" t="e">
        <x:f>IF(#REF!="","",#REF!)</x:f>
        <x:v>#REF!</x:v>
      </x:c>
      <x:c r="W12" s="33" t="e">
        <x:f>IF(#REF!="","",#REF!)</x:f>
        <x:v>#REF!</x:v>
      </x:c>
      <x:c r="X12" s="33" t="e">
        <x:f>IF(#REF!="","",#REF!)</x:f>
        <x:v>#REF!</x:v>
      </x:c>
      <x:c r="Y12" s="33" t="e">
        <x:f>IF(#REF!="","",#REF!)</x:f>
        <x:v>#REF!</x:v>
      </x:c>
      <x:c r="Z12" s="32" t="e">
        <x:f>IF(#REF!="","",#REF!)</x:f>
        <x:v>#REF!</x:v>
      </x:c>
      <x:c r="AA12" s="32" t="e">
        <x:f>IF(#REF!="","",#REF!)</x:f>
        <x:v>#REF!</x:v>
      </x:c>
      <x:c r="AB12" s="32" t="e">
        <x:f>IF(#REF!="","",#REF!)</x:f>
        <x:v>#REF!</x:v>
      </x:c>
      <x:c r="AC12" s="32" t="e">
        <x:f>IF(#REF!="","",#REF!)</x:f>
        <x:v>#REF!</x:v>
      </x:c>
      <x:c r="AD12" s="32" t="e">
        <x:f>IF(#REF!="","",#REF!)</x:f>
        <x:v>#REF!</x:v>
      </x:c>
      <x:c r="AE12" s="46" t="e">
        <x:f>IF(#REF!="","",#REF!)</x:f>
        <x:v>#REF!</x:v>
      </x:c>
      <x:c r="AF12" s="188"/>
    </x:row>
    <x:row r="13" spans="2:32" ht="24" customHeight="1">
      <x:c r="B13" s="5">
        <x:f t="shared" si="1"/>
        <x:v>8</x:v>
      </x:c>
      <x:c r="C13" s="31"/>
      <x:c r="D13" s="186"/>
      <x:c r="E13" s="105"/>
      <x:c r="F13" s="27"/>
      <x:c r="G13" s="27"/>
      <x:c r="H13" s="106"/>
      <x:c r="I13" s="27"/>
      <x:c r="J13" s="27"/>
      <x:c r="K13" s="27"/>
      <x:c r="L13" s="183"/>
      <x:c r="M13" s="77">
        <x:f>SUM(E13:L13)</x:f>
        <x:v>0</x:v>
      </x:c>
      <x:c r="N13" s="78">
        <x:v>156</x:v>
      </x:c>
      <x:c r="O13" s="27">
        <x:f>ROUNDDOWN(M13/N13,0)</x:f>
        <x:v>0</x:v>
      </x:c>
      <x:c r="P13" s="27">
        <x:f>O13*6</x:f>
        <x:v>0</x:v>
      </x:c>
      <x:c r="Q13" s="45" t="e">
        <x:f>IF(#REF!="","",#REF!)</x:f>
        <x:v>#REF!</x:v>
      </x:c>
      <x:c r="R13" s="44" t="e">
        <x:f>IF(#REF!="","",#REF!)</x:f>
        <x:v>#REF!</x:v>
      </x:c>
      <x:c r="S13" s="33" t="e">
        <x:f>IF(#REF!="","",#REF!)</x:f>
        <x:v>#REF!</x:v>
      </x:c>
      <x:c r="T13" s="33" t="e">
        <x:f>IF(#REF!="","",#REF!)</x:f>
        <x:v>#REF!</x:v>
      </x:c>
      <x:c r="U13" s="33" t="e">
        <x:f>IF(#REF!="","",#REF!)</x:f>
        <x:v>#REF!</x:v>
      </x:c>
      <x:c r="V13" s="33" t="e">
        <x:f>IF(#REF!="","",#REF!)</x:f>
        <x:v>#REF!</x:v>
      </x:c>
      <x:c r="W13" s="33" t="e">
        <x:f>IF(#REF!="","",#REF!)</x:f>
        <x:v>#REF!</x:v>
      </x:c>
      <x:c r="X13" s="33" t="e">
        <x:f>IF(#REF!="","",#REF!)</x:f>
        <x:v>#REF!</x:v>
      </x:c>
      <x:c r="Y13" s="33" t="e">
        <x:f>IF(#REF!="","",#REF!)</x:f>
        <x:v>#REF!</x:v>
      </x:c>
      <x:c r="Z13" s="32" t="e">
        <x:f>IF(#REF!="","",#REF!)</x:f>
        <x:v>#REF!</x:v>
      </x:c>
      <x:c r="AA13" s="32" t="e">
        <x:f>IF(#REF!="","",#REF!)</x:f>
        <x:v>#REF!</x:v>
      </x:c>
      <x:c r="AB13" s="32" t="e">
        <x:f>IF(#REF!="","",#REF!)</x:f>
        <x:v>#REF!</x:v>
      </x:c>
      <x:c r="AC13" s="32" t="e">
        <x:f>IF(#REF!="","",#REF!)</x:f>
        <x:v>#REF!</x:v>
      </x:c>
      <x:c r="AD13" s="32" t="e">
        <x:f>IF(#REF!="","",#REF!)</x:f>
        <x:v>#REF!</x:v>
      </x:c>
      <x:c r="AE13" s="46" t="e">
        <x:f>IF(#REF!="","",#REF!)</x:f>
        <x:v>#REF!</x:v>
      </x:c>
      <x:c r="AF13" s="187"/>
    </x:row>
    <x:row r="14" spans="2:32" ht="24" customHeight="1">
      <x:c r="B14" s="5">
        <x:f t="shared" si="1"/>
        <x:v>9</x:v>
      </x:c>
      <x:c r="C14" s="31"/>
      <x:c r="D14" s="186"/>
      <x:c r="E14" s="105"/>
      <x:c r="F14" s="27"/>
      <x:c r="G14" s="27"/>
      <x:c r="H14" s="106"/>
      <x:c r="I14" s="27"/>
      <x:c r="J14" s="27"/>
      <x:c r="K14" s="27"/>
      <x:c r="L14" s="183"/>
      <x:c r="M14" s="77">
        <x:f>SUM(E14:L14)</x:f>
        <x:v>0</x:v>
      </x:c>
      <x:c r="N14" s="78">
        <x:v>209</x:v>
      </x:c>
      <x:c r="O14" s="27">
        <x:f>ROUNDDOWN(M14/N14,0)</x:f>
        <x:v>0</x:v>
      </x:c>
      <x:c r="P14" s="27">
        <x:f>O14*8</x:f>
        <x:v>0</x:v>
      </x:c>
      <x:c r="Q14" s="45" t="e">
        <x:f>IF(#REF!="","",#REF!)</x:f>
        <x:v>#REF!</x:v>
      </x:c>
      <x:c r="R14" s="44" t="e">
        <x:f>IF(#REF!="","",#REF!)</x:f>
        <x:v>#REF!</x:v>
      </x:c>
      <x:c r="S14" s="33" t="e">
        <x:f>IF(#REF!="","",#REF!)</x:f>
        <x:v>#REF!</x:v>
      </x:c>
      <x:c r="T14" s="33" t="e">
        <x:f>IF(#REF!="","",#REF!)</x:f>
        <x:v>#REF!</x:v>
      </x:c>
      <x:c r="U14" s="33" t="e">
        <x:f>IF(#REF!="","",#REF!)</x:f>
        <x:v>#REF!</x:v>
      </x:c>
      <x:c r="V14" s="33" t="e">
        <x:f>IF(#REF!="","",#REF!)</x:f>
        <x:v>#REF!</x:v>
      </x:c>
      <x:c r="W14" s="33" t="e">
        <x:f>IF(#REF!="","",#REF!)</x:f>
        <x:v>#REF!</x:v>
      </x:c>
      <x:c r="X14" s="33" t="e">
        <x:f>IF(#REF!="","",#REF!)</x:f>
        <x:v>#REF!</x:v>
      </x:c>
      <x:c r="Y14" s="33" t="e">
        <x:f>IF(#REF!="","",#REF!)</x:f>
        <x:v>#REF!</x:v>
      </x:c>
      <x:c r="Z14" s="27" t="e">
        <x:f>IF(#REF!="","",#REF!)</x:f>
        <x:v>#REF!</x:v>
      </x:c>
      <x:c r="AA14" s="27" t="e">
        <x:f>IF(#REF!="","",#REF!)</x:f>
        <x:v>#REF!</x:v>
      </x:c>
      <x:c r="AB14" s="27" t="e">
        <x:f>IF(#REF!="","",#REF!)</x:f>
        <x:v>#REF!</x:v>
      </x:c>
      <x:c r="AC14" s="27" t="e">
        <x:f>IF(#REF!="","",#REF!)</x:f>
        <x:v>#REF!</x:v>
      </x:c>
      <x:c r="AD14" s="27" t="e">
        <x:f>IF(#REF!="","",#REF!)</x:f>
        <x:v>#REF!</x:v>
      </x:c>
      <x:c r="AE14" s="46" t="e">
        <x:f>IF(#REF!="","",#REF!)</x:f>
        <x:v>#REF!</x:v>
      </x:c>
      <x:c r="AF14" s="187"/>
    </x:row>
    <x:row r="15" spans="2:32" ht="24" customHeight="1">
      <x:c r="B15" s="5">
        <x:f t="shared" si="1"/>
        <x:v>10</x:v>
      </x:c>
      <x:c r="C15" s="31"/>
      <x:c r="D15" s="13"/>
      <x:c r="E15" s="78"/>
      <x:c r="F15" s="27"/>
      <x:c r="G15" s="27"/>
      <x:c r="H15" s="27"/>
      <x:c r="I15" s="27"/>
      <x:c r="J15" s="27"/>
      <x:c r="K15" s="27"/>
      <x:c r="L15" s="183"/>
      <x:c r="M15" s="77">
        <x:f t="shared" ref="M15:M17" si="2">SUM(E15:L15)</x:f>
        <x:v>0</x:v>
      </x:c>
      <x:c r="N15" s="78">
        <x:v>209</x:v>
      </x:c>
      <x:c r="O15" s="27">
        <x:f t="shared" ref="O15:O17" si="3">ROUNDDOWN(M15/N15,0)</x:f>
        <x:v>0</x:v>
      </x:c>
      <x:c r="P15" s="27">
        <x:f t="shared" ref="P15:P17" si="4">O15*8</x:f>
        <x:v>0</x:v>
      </x:c>
      <x:c r="Q15" s="45" t="e">
        <x:f>IF(#REF!="","",#REF!)</x:f>
        <x:v>#REF!</x:v>
      </x:c>
      <x:c r="R15" s="44" t="e">
        <x:f>IF(#REF!="","",#REF!)</x:f>
        <x:v>#REF!</x:v>
      </x:c>
      <x:c r="S15" s="33" t="e">
        <x:f>IF(#REF!="","",#REF!)</x:f>
        <x:v>#REF!</x:v>
      </x:c>
      <x:c r="T15" s="33" t="e">
        <x:f>IF(#REF!="","",#REF!)</x:f>
        <x:v>#REF!</x:v>
      </x:c>
      <x:c r="U15" s="33" t="e">
        <x:f>IF(#REF!="","",#REF!)</x:f>
        <x:v>#REF!</x:v>
      </x:c>
      <x:c r="V15" s="33" t="e">
        <x:f>IF(#REF!="","",#REF!)</x:f>
        <x:v>#REF!</x:v>
      </x:c>
      <x:c r="W15" s="33" t="e">
        <x:f>IF(#REF!="","",#REF!)</x:f>
        <x:v>#REF!</x:v>
      </x:c>
      <x:c r="X15" s="33" t="e">
        <x:f>IF(#REF!="","",#REF!)</x:f>
        <x:v>#REF!</x:v>
      </x:c>
      <x:c r="Y15" s="33" t="e">
        <x:f>IF(#REF!="","",#REF!)</x:f>
        <x:v>#REF!</x:v>
      </x:c>
      <x:c r="Z15" s="32" t="e">
        <x:f>IF(#REF!="","",#REF!)</x:f>
        <x:v>#REF!</x:v>
      </x:c>
      <x:c r="AA15" s="32" t="e">
        <x:f>IF(#REF!="","",#REF!)</x:f>
        <x:v>#REF!</x:v>
      </x:c>
      <x:c r="AB15" s="32" t="e">
        <x:f>IF(#REF!="","",#REF!)</x:f>
        <x:v>#REF!</x:v>
      </x:c>
      <x:c r="AC15" s="32" t="e">
        <x:f>IF(#REF!="","",#REF!)</x:f>
        <x:v>#REF!</x:v>
      </x:c>
      <x:c r="AD15" s="32" t="e">
        <x:f>IF(#REF!="","",#REF!)</x:f>
        <x:v>#REF!</x:v>
      </x:c>
      <x:c r="AE15" s="46" t="e">
        <x:f>IF(#REF!="","",#REF!)</x:f>
        <x:v>#REF!</x:v>
      </x:c>
      <x:c r="AF15" s="164"/>
    </x:row>
    <x:row r="16" spans="2:32" s="4" customFormat="1" ht="24" customHeight="1">
      <x:c r="B16" s="5">
        <x:f t="shared" si="1"/>
        <x:v>11</x:v>
      </x:c>
      <x:c r="C16" s="31"/>
      <x:c r="D16" s="13"/>
      <x:c r="E16" s="78"/>
      <x:c r="F16" s="27"/>
      <x:c r="G16" s="27"/>
      <x:c r="H16" s="27"/>
      <x:c r="I16" s="27"/>
      <x:c r="J16" s="27"/>
      <x:c r="K16" s="27"/>
      <x:c r="L16" s="183"/>
      <x:c r="M16" s="77">
        <x:f t="shared" si="2"/>
        <x:v>0</x:v>
      </x:c>
      <x:c r="N16" s="78">
        <x:v>209</x:v>
      </x:c>
      <x:c r="O16" s="27">
        <x:f t="shared" si="3"/>
        <x:v>0</x:v>
      </x:c>
      <x:c r="P16" s="27">
        <x:f t="shared" si="4"/>
        <x:v>0</x:v>
      </x:c>
      <x:c r="Q16" s="45"/>
      <x:c r="R16" s="44"/>
      <x:c r="S16" s="33"/>
      <x:c r="T16" s="33"/>
      <x:c r="U16" s="33"/>
      <x:c r="V16" s="33"/>
      <x:c r="W16" s="33"/>
      <x:c r="X16" s="33"/>
      <x:c r="Y16" s="33"/>
      <x:c r="Z16" s="27"/>
      <x:c r="AA16" s="27"/>
      <x:c r="AB16" s="27"/>
      <x:c r="AC16" s="27"/>
      <x:c r="AD16" s="27"/>
      <x:c r="AE16" s="46"/>
      <x:c r="AF16" s="48"/>
    </x:row>
    <x:row r="17" spans="2:32" ht="24" customHeight="1">
      <x:c r="B17" s="5">
        <x:f t="shared" si="1"/>
        <x:v>12</x:v>
      </x:c>
      <x:c r="C17" s="31"/>
      <x:c r="D17" s="13"/>
      <x:c r="E17" s="78"/>
      <x:c r="F17" s="27"/>
      <x:c r="G17" s="27"/>
      <x:c r="H17" s="27"/>
      <x:c r="I17" s="27"/>
      <x:c r="J17" s="27"/>
      <x:c r="K17" s="27"/>
      <x:c r="L17" s="183"/>
      <x:c r="M17" s="77">
        <x:f t="shared" si="2"/>
        <x:v>0</x:v>
      </x:c>
      <x:c r="N17" s="78">
        <x:v>209</x:v>
      </x:c>
      <x:c r="O17" s="27">
        <x:f t="shared" si="3"/>
        <x:v>0</x:v>
      </x:c>
      <x:c r="P17" s="27">
        <x:f t="shared" si="4"/>
        <x:v>0</x:v>
      </x:c>
      <x:c r="Q17" s="45" t="e">
        <x:f>IF(#REF!="","",#REF!)</x:f>
        <x:v>#REF!</x:v>
      </x:c>
      <x:c r="R17" s="44" t="e">
        <x:f>IF(#REF!="","",#REF!)</x:f>
        <x:v>#REF!</x:v>
      </x:c>
      <x:c r="S17" s="33" t="e">
        <x:f>IF(#REF!="","",#REF!)</x:f>
        <x:v>#REF!</x:v>
      </x:c>
      <x:c r="T17" s="33" t="e">
        <x:f>IF(#REF!="","",#REF!)</x:f>
        <x:v>#REF!</x:v>
      </x:c>
      <x:c r="U17" s="33" t="e">
        <x:f>IF(#REF!="","",#REF!)</x:f>
        <x:v>#REF!</x:v>
      </x:c>
      <x:c r="V17" s="33" t="e">
        <x:f>IF(#REF!="","",#REF!)</x:f>
        <x:v>#REF!</x:v>
      </x:c>
      <x:c r="W17" s="33" t="e">
        <x:f>IF(#REF!="","",#REF!)</x:f>
        <x:v>#REF!</x:v>
      </x:c>
      <x:c r="X17" s="33" t="e">
        <x:f>IF(#REF!="","",#REF!)</x:f>
        <x:v>#REF!</x:v>
      </x:c>
      <x:c r="Y17" s="33" t="e">
        <x:f>IF(#REF!="","",#REF!)</x:f>
        <x:v>#REF!</x:v>
      </x:c>
      <x:c r="Z17" s="32" t="e">
        <x:f>IF(#REF!="","",#REF!)</x:f>
        <x:v>#REF!</x:v>
      </x:c>
      <x:c r="AA17" s="32" t="e">
        <x:f>IF(#REF!="","",#REF!)</x:f>
        <x:v>#REF!</x:v>
      </x:c>
      <x:c r="AB17" s="32" t="e">
        <x:f>IF(#REF!="","",#REF!)</x:f>
        <x:v>#REF!</x:v>
      </x:c>
      <x:c r="AC17" s="32" t="e">
        <x:f>IF(#REF!="","",#REF!)</x:f>
        <x:v>#REF!</x:v>
      </x:c>
      <x:c r="AD17" s="32" t="e">
        <x:f>IF(#REF!="","",#REF!)</x:f>
        <x:v>#REF!</x:v>
      </x:c>
      <x:c r="AE17" s="46" t="e">
        <x:f>IF(#REF!="","",#REF!)</x:f>
        <x:v>#REF!</x:v>
      </x:c>
      <x:c r="AF17" s="138"/>
    </x:row>
    <x:row r="18" spans="2:32" ht="24" customHeight="1">
      <x:c r="B18" s="5">
        <x:f t="shared" si="1"/>
        <x:v>13</x:v>
      </x:c>
      <x:c r="C18" s="31"/>
      <x:c r="D18" s="13"/>
      <x:c r="E18" s="105"/>
      <x:c r="F18" s="76"/>
      <x:c r="G18" s="76"/>
      <x:c r="H18" s="76"/>
      <x:c r="I18" s="106"/>
      <x:c r="J18" s="76"/>
      <x:c r="K18" s="27"/>
      <x:c r="L18" s="183"/>
      <x:c r="M18" s="77"/>
      <x:c r="N18" s="78"/>
      <x:c r="O18" s="27"/>
      <x:c r="P18" s="27"/>
      <x:c r="Q18" s="45" t="e">
        <x:f>IF(#REF!="","",#REF!)</x:f>
        <x:v>#REF!</x:v>
      </x:c>
      <x:c r="R18" s="44" t="e">
        <x:f>IF(#REF!="","",#REF!)</x:f>
        <x:v>#REF!</x:v>
      </x:c>
      <x:c r="S18" s="33" t="e">
        <x:f>IF(#REF!="","",#REF!)</x:f>
        <x:v>#REF!</x:v>
      </x:c>
      <x:c r="T18" s="33" t="e">
        <x:f>IF(#REF!="","",#REF!)</x:f>
        <x:v>#REF!</x:v>
      </x:c>
      <x:c r="U18" s="33" t="e">
        <x:f>IF(#REF!="","",#REF!)</x:f>
        <x:v>#REF!</x:v>
      </x:c>
      <x:c r="V18" s="33" t="e">
        <x:f>IF(#REF!="","",#REF!)</x:f>
        <x:v>#REF!</x:v>
      </x:c>
      <x:c r="W18" s="33" t="e">
        <x:f>IF(#REF!="","",#REF!)</x:f>
        <x:v>#REF!</x:v>
      </x:c>
      <x:c r="X18" s="33" t="e">
        <x:f>IF(#REF!="","",#REF!)</x:f>
        <x:v>#REF!</x:v>
      </x:c>
      <x:c r="Y18" s="33" t="e">
        <x:f>IF(#REF!="","",#REF!)</x:f>
        <x:v>#REF!</x:v>
      </x:c>
      <x:c r="Z18" s="32" t="e">
        <x:f>IF(#REF!="","",#REF!)</x:f>
        <x:v>#REF!</x:v>
      </x:c>
      <x:c r="AA18" s="32" t="e">
        <x:f>IF(#REF!="","",#REF!)</x:f>
        <x:v>#REF!</x:v>
      </x:c>
      <x:c r="AB18" s="32" t="e">
        <x:f>IF(#REF!="","",#REF!)</x:f>
        <x:v>#REF!</x:v>
      </x:c>
      <x:c r="AC18" s="32" t="e">
        <x:f>IF(#REF!="","",#REF!)</x:f>
        <x:v>#REF!</x:v>
      </x:c>
      <x:c r="AD18" s="32" t="e">
        <x:f>IF(#REF!="","",#REF!)</x:f>
        <x:v>#REF!</x:v>
      </x:c>
      <x:c r="AE18" s="46" t="e">
        <x:f>IF(#REF!="","",#REF!)</x:f>
        <x:v>#REF!</x:v>
      </x:c>
      <x:c r="AF18" s="48"/>
    </x:row>
    <x:row r="19" spans="2:32" ht="24" hidden="1" customHeight="1">
      <x:c r="B19" s="34"/>
      <x:c r="C19" s="35"/>
      <x:c r="D19" s="35"/>
      <x:c r="E19" s="34"/>
      <x:c r="F19" s="34"/>
      <x:c r="G19" s="34"/>
      <x:c r="H19" s="34"/>
      <x:c r="I19" s="34"/>
      <x:c r="J19" s="34"/>
      <x:c r="K19" s="34"/>
      <x:c r="L19" s="34"/>
      <x:c r="M19" s="34"/>
      <x:c r="N19" s="34"/>
      <x:c r="O19" s="34"/>
      <x:c r="P19" s="34"/>
      <x:c r="Q19" s="34"/>
      <x:c r="R19" s="34"/>
      <x:c r="S19" s="36"/>
      <x:c r="T19" s="36"/>
      <x:c r="U19" s="36"/>
      <x:c r="V19" s="36"/>
      <x:c r="W19" s="36"/>
      <x:c r="X19" s="36"/>
      <x:c r="Y19" s="36"/>
      <x:c r="Z19" s="36"/>
      <x:c r="AA19" s="36"/>
      <x:c r="AB19" s="36"/>
      <x:c r="AC19" s="36"/>
      <x:c r="AD19" s="36"/>
      <x:c r="AE19" s="37"/>
      <x:c r="AF19" s="34"/>
    </x:row>
    <x:row r="20" ht="24" hidden="1" customHeight="1"/>
    <x:row r="21" spans="5:16" ht="24" customHeight="1">
      <x:c r="E21" s="65">
        <x:f>SUM(E6:E20)</x:f>
        <x:v>0</x:v>
      </x:c>
      <x:c r="F21" s="65">
        <x:f>SUM(F6:F20)</x:f>
        <x:v>0</x:v>
      </x:c>
      <x:c r="G21" s="65">
        <x:f>SUM(G6:G20)</x:f>
        <x:v>0</x:v>
      </x:c>
      <x:c r="H21" s="65">
        <x:f>SUM(H6:H20)</x:f>
        <x:v>0</x:v>
      </x:c>
      <x:c r="I21" s="65">
        <x:f>SUM(I6:I20)</x:f>
        <x:v>0</x:v>
      </x:c>
      <x:c r="J21" s="65">
        <x:f>SUM(J6:J20)</x:f>
        <x:v>0</x:v>
      </x:c>
      <x:c r="K21" s="65">
        <x:f>SUM(K6:K20)</x:f>
        <x:v>0</x:v>
      </x:c>
      <x:c r="L21" s="65"/>
      <x:c r="O21" s="65"/>
      <x:c r="P21" s="65"/>
    </x:row>
    <x:row r="25" spans="3:4">
      <x:c r="C25" s="4"/>
      <x:c r="D25" s="43"/>
    </x:row>
    <x:row r="26" spans="3:4">
      <x:c r="C26" s="4"/>
      <x:c r="D26" s="43"/>
    </x:row>
    <x:row r="27" spans="17:17">
      <x:c r="Q27" s="25" t="s">
        <x:v>139</x:v>
      </x:c>
    </x:row>
  </x:sheetData>
  <x:mergeCells count="11">
    <x:mergeCell ref="B3:B4"/>
    <x:mergeCell ref="C3:C4"/>
    <x:mergeCell ref="D3:D4"/>
    <x:mergeCell ref="E3:M3"/>
    <x:mergeCell ref="N3:N4"/>
    <x:mergeCell ref="O3:O4"/>
    <x:mergeCell ref="P3:P4"/>
    <x:mergeCell ref="Q3:Q4"/>
    <x:mergeCell ref="R3:R4"/>
    <x:mergeCell ref="S3:AE3"/>
    <x:mergeCell ref="AF3:AF4"/>
  </x:mergeCells>
  <x:pageMargins left="0.74805557727813720703" right="0.74805557727813720703" top="0.98430556058883666992" bottom="0.98430556058883666992" header="0.51138889789581298828" footer="0.51138889789581298828"/>
  <x:pageSetup paperSize="9" scale="59" firstPageNumber="1" fitToWidth="1" fitToHeight="1" orientation="landscape" usePrinterDefaults="1" blackAndWhite="0" draft="0" useFirstPageNumber="0" horizontalDpi="600" verticalDpi="600" copies="1"/>
  <x:colBreaks count="1" manualBreakCount="1">
    <x:brk id="1" min="0" max="16383" man="1" pt="0"/>
  </x:colBreaks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>
    <x:tabColor rgb="ff000000"/>
    <x:pageSetUpPr autoPageBreaks="1" fitToPage="1"/>
  </x:sheetPr>
  <x:dimension ref="B2:S23"/>
  <x:sheetViews>
    <x:sheetView view="pageBreakPreview" topLeftCell="A1" zoomScaleNormal="100" zoomScaleSheetLayoutView="100" workbookViewId="0">
      <x:selection activeCell="H17" activeCellId="0" sqref="H17:H17"/>
    </x:sheetView>
  </x:sheetViews>
  <x:sheetFormatPr defaultColWidth="8.88671875" defaultRowHeight="16.39999999999999857891"/>
  <x:cols>
    <x:col min="1" max="1" width="2.21875" style="4" customWidth="1"/>
    <x:col min="2" max="2" width="5.33203125" style="4" customWidth="1"/>
    <x:col min="3" max="3" width="8.88671875" style="4"/>
    <x:col min="4" max="5" width="13.44140625" style="4" customWidth="1"/>
    <x:col min="6" max="8" width="8.88671875" style="4" customWidth="1"/>
    <x:col min="9" max="10" width="8.88671875" style="4" hidden="1" customWidth="1"/>
    <x:col min="11" max="11" width="12.88671875" style="4" hidden="1" customWidth="1"/>
    <x:col min="12" max="14" width="8.88671875" style="4" customWidth="1"/>
    <x:col min="15" max="15" width="31" style="4" customWidth="1"/>
    <x:col min="16" max="17" width="8.88671875" style="4"/>
    <x:col min="18" max="19" width="10.5546875" style="4" customWidth="1"/>
    <x:col min="20" max="20" width="8.88671875" style="4" bestFit="1" customWidth="1"/>
    <x:col min="21" max="16384" width="8.88671875" style="4"/>
  </x:cols>
  <x:sheetData>
    <x:row r="2" spans="2:15" ht="29.25" customHeight="1">
      <x:c r="B2" s="213" t="s">
        <x:v>128</x:v>
      </x:c>
      <x:c r="C2" s="214" t="s">
        <x:v>129</x:v>
      </x:c>
      <x:c r="D2" s="214" t="s">
        <x:v>129</x:v>
      </x:c>
      <x:c r="E2" s="213"/>
      <x:c r="F2" s="214" t="s">
        <x:v>129</x:v>
      </x:c>
      <x:c r="G2" s="213" t="s">
        <x:v>129</x:v>
      </x:c>
      <x:c r="H2" s="213" t="s">
        <x:v>129</x:v>
      </x:c>
      <x:c r="I2" s="214" t="s">
        <x:v>129</x:v>
      </x:c>
      <x:c r="J2" s="214" t="s">
        <x:v>129</x:v>
      </x:c>
      <x:c r="K2" s="213" t="s">
        <x:v>129</x:v>
      </x:c>
      <x:c r="L2" s="214" t="s">
        <x:v>129</x:v>
      </x:c>
      <x:c r="M2" s="213" t="s">
        <x:v>129</x:v>
      </x:c>
      <x:c r="N2" s="214" t="s">
        <x:v>129</x:v>
      </x:c>
      <x:c r="O2" s="214" t="s">
        <x:v>129</x:v>
      </x:c>
    </x:row>
    <x:row r="3" spans="2:19" ht="26.25" customHeight="1">
      <x:c r="B3" s="191" t="s">
        <x:v>22</x:v>
      </x:c>
      <x:c r="C3" s="191" t="s">
        <x:v>12</x:v>
      </x:c>
      <x:c r="D3" s="215" t="s">
        <x:v>14</x:v>
      </x:c>
      <x:c r="E3" s="107" t="s">
        <x:v>131</x:v>
      </x:c>
      <x:c r="F3" s="217" t="s">
        <x:v>32</x:v>
      </x:c>
      <x:c r="G3" s="205"/>
      <x:c r="H3" s="218"/>
      <x:c r="I3" s="217" t="s">
        <x:v>42</x:v>
      </x:c>
      <x:c r="J3" s="205"/>
      <x:c r="K3" s="218"/>
      <x:c r="L3" s="202" t="s">
        <x:v>86</x:v>
      </x:c>
      <x:c r="M3" s="202" t="s">
        <x:v>87</x:v>
      </x:c>
      <x:c r="N3" s="202" t="s">
        <x:v>3</x:v>
      </x:c>
      <x:c r="O3" s="88"/>
      <x:c r="Q3" s="2"/>
      <x:c r="R3" s="2"/>
      <x:c r="S3" s="2"/>
    </x:row>
    <x:row r="4" spans="2:19" ht="42" customHeight="1">
      <x:c r="B4" s="192"/>
      <x:c r="C4" s="192"/>
      <x:c r="D4" s="216"/>
      <x:c r="E4" s="179" t="s">
        <x:v>98</x:v>
      </x:c>
      <x:c r="F4" s="89" t="s">
        <x:v>120</x:v>
      </x:c>
      <x:c r="G4" s="89" t="s">
        <x:v>105</x:v>
      </x:c>
      <x:c r="H4" s="89" t="s">
        <x:v>84</x:v>
      </x:c>
      <x:c r="I4" s="89" t="s">
        <x:v>108</x:v>
      </x:c>
      <x:c r="J4" s="89" t="s">
        <x:v>118</x:v>
      </x:c>
      <x:c r="K4" s="89" t="s">
        <x:v>137</x:v>
      </x:c>
      <x:c r="L4" s="209"/>
      <x:c r="M4" s="209"/>
      <x:c r="N4" s="209"/>
      <x:c r="O4" s="88" t="s">
        <x:v>10</x:v>
      </x:c>
      <x:c r="Q4" s="219" t="s">
        <x:v>83</x:v>
      </x:c>
      <x:c r="R4" s="219"/>
      <x:c r="S4" s="219"/>
    </x:row>
    <x:row r="5" spans="2:19" ht="26.25" customHeight="1">
      <x:c r="B5" s="8"/>
      <x:c r="C5" s="8"/>
      <x:c r="D5" s="49"/>
      <x:c r="E5" s="29"/>
      <x:c r="F5" s="50"/>
      <x:c r="G5" s="50"/>
      <x:c r="H5" s="50"/>
      <x:c r="I5" s="50"/>
      <x:c r="J5" s="50"/>
      <x:c r="K5" s="50"/>
      <x:c r="L5" s="50"/>
      <x:c r="M5" s="50"/>
      <x:c r="N5" s="50"/>
      <x:c r="O5" s="8"/>
      <x:c r="Q5" s="219"/>
      <x:c r="R5" s="219"/>
      <x:c r="S5" s="219"/>
    </x:row>
    <x:row r="6" spans="2:19" ht="26.25" customHeight="1">
      <x:c r="B6" s="5">
        <x:f>ROW()-ROW($B$5)</x:f>
        <x:v>1</x:v>
      </x:c>
      <x:c r="C6" s="121"/>
      <x:c r="D6" s="75"/>
      <x:c r="E6" s="75">
        <x:v>10</x:v>
      </x:c>
      <x:c r="F6" s="52">
        <x:v>20</x:v>
      </x:c>
      <x:c r="G6" s="52">
        <x:v>18</x:v>
      </x:c>
      <x:c r="H6" s="122">
        <x:f>F6-G6</x:f>
        <x:v>2</x:v>
      </x:c>
      <x:c r="I6" s="52">
        <x:v>21</x:v>
      </x:c>
      <x:c r="J6" s="52"/>
      <x:c r="K6" s="52">
        <x:f>MAX(J6-I6,0)</x:f>
        <x:v>0</x:v>
      </x:c>
      <x:c r="L6" s="52">
        <x:f t="shared" ref="L6:L8" si="0">H6-K6</x:f>
        <x:v>2</x:v>
      </x:c>
      <x:c r="M6" s="51">
        <x:v>101792</x:v>
      </x:c>
      <x:c r="N6" s="55">
        <x:f>ROUNDDOWN(L6*M6,-1)</x:f>
        <x:v>203580</x:v>
      </x:c>
      <x:c r="O6" s="120"/>
      <x:c r="Q6" s="115" t="s">
        <x:v>116</x:v>
      </x:c>
      <x:c r="R6" s="110" t="s">
        <x:v>132</x:v>
      </x:c>
      <x:c r="S6" s="110" t="s">
        <x:v>102</x:v>
      </x:c>
    </x:row>
    <x:row r="7" spans="2:19" ht="26.25" customHeight="1">
      <x:c r="B7" s="5">
        <x:v>2</x:v>
      </x:c>
      <x:c r="C7" s="121"/>
      <x:c r="D7" s="75"/>
      <x:c r="E7" s="75">
        <x:v>1</x:v>
      </x:c>
      <x:c r="F7" s="52">
        <x:v>14.800000000000001</x:v>
      </x:c>
      <x:c r="G7" s="52">
        <x:v>3</x:v>
      </x:c>
      <x:c r="H7" s="122">
        <x:f>F7-G7</x:f>
        <x:v>11.800000000000001</x:v>
      </x:c>
      <x:c r="I7" s="52"/>
      <x:c r="J7" s="52"/>
      <x:c r="K7" s="52"/>
      <x:c r="L7" s="52">
        <x:f t="shared" si="0"/>
        <x:v>11.800000000000001</x:v>
      </x:c>
      <x:c r="M7" s="51">
        <x:f>'3.통상임금'!P7</x:f>
        <x:v>0</x:v>
      </x:c>
      <x:c r="N7" s="55">
        <x:f t="shared" ref="N7:N8" si="1">ROUNDDOWN(L7*M7,-1)</x:f>
        <x:v>0</x:v>
      </x:c>
      <x:c r="O7" s="189"/>
      <x:c r="Q7" s="116" t="s">
        <x:v>23</x:v>
      </x:c>
      <x:c r="R7" s="111" t="s">
        <x:v>55</x:v>
      </x:c>
      <x:c r="S7" s="111" t="s">
        <x:v>44</x:v>
      </x:c>
    </x:row>
    <x:row r="8" spans="2:19" ht="26.25" customHeight="1">
      <x:c r="B8" s="5">
        <x:v>3</x:v>
      </x:c>
      <x:c r="C8" s="121"/>
      <x:c r="D8" s="75"/>
      <x:c r="E8" s="75">
        <x:v>1</x:v>
      </x:c>
      <x:c r="F8" s="52">
        <x:v>14.800000000000001</x:v>
      </x:c>
      <x:c r="G8" s="52">
        <x:v>1</x:v>
      </x:c>
      <x:c r="H8" s="122">
        <x:f>F8-G8</x:f>
        <x:v>13.800000000000001</x:v>
      </x:c>
      <x:c r="I8" s="52"/>
      <x:c r="J8" s="52"/>
      <x:c r="K8" s="52"/>
      <x:c r="L8" s="52">
        <x:f t="shared" si="0"/>
        <x:v>13.800000000000001</x:v>
      </x:c>
      <x:c r="M8" s="51">
        <x:f>'3.통상임금'!P8</x:f>
        <x:v>0</x:v>
      </x:c>
      <x:c r="N8" s="55">
        <x:f t="shared" si="1"/>
        <x:v>0</x:v>
      </x:c>
      <x:c r="O8" s="5"/>
      <x:c r="Q8" s="117" t="s">
        <x:v>31</x:v>
      </x:c>
      <x:c r="R8" s="112" t="s">
        <x:v>55</x:v>
      </x:c>
      <x:c r="S8" s="112" t="s">
        <x:v>44</x:v>
      </x:c>
    </x:row>
    <x:row r="9" spans="2:19" ht="26.25" customHeight="1">
      <x:c r="B9" s="5"/>
      <x:c r="C9" s="121"/>
      <x:c r="D9" s="75"/>
      <x:c r="E9" s="75"/>
      <x:c r="F9" s="52"/>
      <x:c r="G9" s="52"/>
      <x:c r="H9" s="122"/>
      <x:c r="I9" s="52"/>
      <x:c r="J9" s="52"/>
      <x:c r="K9" s="52"/>
      <x:c r="L9" s="52"/>
      <x:c r="M9" s="21"/>
      <x:c r="N9" s="55"/>
      <x:c r="O9" s="5"/>
      <x:c r="Q9" s="117" t="s">
        <x:v>40</x:v>
      </x:c>
      <x:c r="R9" s="112" t="s">
        <x:v>26</x:v>
      </x:c>
      <x:c r="S9" s="112" t="s">
        <x:v>59</x:v>
      </x:c>
    </x:row>
    <x:row r="10" spans="2:19" ht="26.25" customHeight="1">
      <x:c r="B10" s="5"/>
      <x:c r="C10" s="121"/>
      <x:c r="D10" s="75"/>
      <x:c r="E10" s="75"/>
      <x:c r="F10" s="52"/>
      <x:c r="G10" s="52"/>
      <x:c r="H10" s="122"/>
      <x:c r="I10" s="52"/>
      <x:c r="J10" s="52"/>
      <x:c r="K10" s="52"/>
      <x:c r="L10" s="52"/>
      <x:c r="M10" s="21"/>
      <x:c r="N10" s="55"/>
      <x:c r="O10" s="5"/>
      <x:c r="Q10" s="117" t="s">
        <x:v>29</x:v>
      </x:c>
      <x:c r="R10" s="112" t="s">
        <x:v>26</x:v>
      </x:c>
      <x:c r="S10" s="112" t="s">
        <x:v>59</x:v>
      </x:c>
    </x:row>
    <x:row r="11" spans="2:19" ht="26.25" customHeight="1">
      <x:c r="B11" s="5"/>
      <x:c r="C11" s="121"/>
      <x:c r="D11" s="75"/>
      <x:c r="E11" s="75"/>
      <x:c r="F11" s="52"/>
      <x:c r="G11" s="52"/>
      <x:c r="H11" s="122"/>
      <x:c r="I11" s="52"/>
      <x:c r="J11" s="52"/>
      <x:c r="K11" s="52"/>
      <x:c r="L11" s="52"/>
      <x:c r="M11" s="21"/>
      <x:c r="N11" s="55"/>
      <x:c r="O11" s="5"/>
      <x:c r="Q11" s="118" t="s">
        <x:v>46</x:v>
      </x:c>
      <x:c r="R11" s="113" t="s">
        <x:v>48</x:v>
      </x:c>
      <x:c r="S11" s="113" t="s">
        <x:v>30</x:v>
      </x:c>
    </x:row>
    <x:row r="12" spans="2:19" ht="26.25" customHeight="1">
      <x:c r="B12" s="5"/>
      <x:c r="C12" s="121"/>
      <x:c r="D12" s="75"/>
      <x:c r="E12" s="75"/>
      <x:c r="F12" s="52"/>
      <x:c r="G12" s="52"/>
      <x:c r="H12" s="122"/>
      <x:c r="I12" s="52"/>
      <x:c r="J12" s="52"/>
      <x:c r="K12" s="52"/>
      <x:c r="L12" s="52"/>
      <x:c r="M12" s="21"/>
      <x:c r="N12" s="55">
        <x:f>ROUNDDOWN(L12*M12,-1)</x:f>
        <x:v>0</x:v>
      </x:c>
      <x:c r="O12" s="120"/>
      <x:c r="Q12" s="119" t="s">
        <x:v>39</x:v>
      </x:c>
      <x:c r="R12" s="114" t="s">
        <x:v>58</x:v>
      </x:c>
      <x:c r="S12" s="114" t="s">
        <x:v>55</x:v>
      </x:c>
    </x:row>
    <x:row r="13" spans="2:19" ht="26.25" customHeight="1">
      <x:c r="B13" s="5"/>
      <x:c r="C13" s="121"/>
      <x:c r="D13" s="75"/>
      <x:c r="E13" s="75"/>
      <x:c r="F13" s="52"/>
      <x:c r="G13" s="52"/>
      <x:c r="H13" s="122"/>
      <x:c r="I13" s="52"/>
      <x:c r="J13" s="52"/>
      <x:c r="K13" s="52"/>
      <x:c r="L13" s="52"/>
      <x:c r="M13" s="21"/>
      <x:c r="N13" s="55"/>
      <x:c r="O13" s="5"/>
      <x:c r="Q13" s="119" t="s">
        <x:v>52</x:v>
      </x:c>
      <x:c r="R13" s="114" t="s">
        <x:v>28</x:v>
      </x:c>
      <x:c r="S13" s="114" t="s">
        <x:v>26</x:v>
      </x:c>
    </x:row>
    <x:row r="14" spans="2:19" ht="26.25" customHeight="1">
      <x:c r="B14" s="5"/>
      <x:c r="C14" s="121"/>
      <x:c r="D14" s="75"/>
      <x:c r="E14" s="75"/>
      <x:c r="F14" s="52"/>
      <x:c r="G14" s="52"/>
      <x:c r="H14" s="122"/>
      <x:c r="I14" s="52"/>
      <x:c r="J14" s="52"/>
      <x:c r="K14" s="52"/>
      <x:c r="L14" s="52"/>
      <x:c r="M14" s="21"/>
      <x:c r="N14" s="55"/>
      <x:c r="O14" s="5"/>
      <x:c r="Q14" s="116" t="s">
        <x:v>37</x:v>
      </x:c>
      <x:c r="R14" s="111" t="s">
        <x:v>35</x:v>
      </x:c>
      <x:c r="S14" s="111" t="s">
        <x:v>48</x:v>
      </x:c>
    </x:row>
    <x:row r="15" spans="2:19" ht="26.25" customHeight="1">
      <x:c r="B15" s="5"/>
      <x:c r="C15" s="121"/>
      <x:c r="D15" s="75"/>
      <x:c r="E15" s="75"/>
      <x:c r="F15" s="52"/>
      <x:c r="G15" s="52"/>
      <x:c r="H15" s="122"/>
      <x:c r="I15" s="52"/>
      <x:c r="J15" s="52"/>
      <x:c r="K15" s="52"/>
      <x:c r="L15" s="52"/>
      <x:c r="M15" s="21"/>
      <x:c r="N15" s="55"/>
      <x:c r="O15" s="5"/>
      <x:c r="Q15" s="117" t="s">
        <x:v>47</x:v>
      </x:c>
      <x:c r="R15" s="112" t="s">
        <x:v>33</x:v>
      </x:c>
      <x:c r="S15" s="112" t="s">
        <x:v>58</x:v>
      </x:c>
    </x:row>
    <x:row r="16" spans="2:19" ht="26.25" customHeight="1">
      <x:c r="B16" s="5"/>
      <x:c r="C16" s="121"/>
      <x:c r="D16" s="75"/>
      <x:c r="E16" s="75"/>
      <x:c r="F16" s="52"/>
      <x:c r="G16" s="52"/>
      <x:c r="H16" s="122"/>
      <x:c r="I16" s="52"/>
      <x:c r="J16" s="52"/>
      <x:c r="K16" s="52"/>
      <x:c r="L16" s="52"/>
      <x:c r="M16" s="21"/>
      <x:c r="N16" s="55"/>
      <x:c r="O16" s="139"/>
      <x:c r="Q16" s="117" t="s">
        <x:v>57</x:v>
      </x:c>
      <x:c r="R16" s="112" t="s">
        <x:v>51</x:v>
      </x:c>
      <x:c r="S16" s="112" t="s">
        <x:v>28</x:v>
      </x:c>
    </x:row>
    <x:row r="17" spans="2:19" ht="26.25" customHeight="1">
      <x:c r="B17" s="5"/>
      <x:c r="C17" s="121"/>
      <x:c r="D17" s="75"/>
      <x:c r="E17" s="75"/>
      <x:c r="F17" s="52"/>
      <x:c r="G17" s="52"/>
      <x:c r="H17" s="122"/>
      <x:c r="I17" s="52"/>
      <x:c r="J17" s="52"/>
      <x:c r="K17" s="52"/>
      <x:c r="L17" s="52"/>
      <x:c r="M17" s="21"/>
      <x:c r="N17" s="55"/>
      <x:c r="O17" s="5"/>
      <x:c r="Q17" s="117" t="s">
        <x:v>45</x:v>
      </x:c>
      <x:c r="R17" s="112" t="s">
        <x:v>54</x:v>
      </x:c>
      <x:c r="S17" s="112" t="s">
        <x:v>35</x:v>
      </x:c>
    </x:row>
    <x:row r="18" spans="2:19" ht="26.25" customHeight="1">
      <x:c r="B18" s="5"/>
      <x:c r="C18" s="121"/>
      <x:c r="D18" s="75"/>
      <x:c r="E18" s="75"/>
      <x:c r="F18" s="52"/>
      <x:c r="G18" s="52"/>
      <x:c r="H18" s="123"/>
      <x:c r="I18" s="52"/>
      <x:c r="J18" s="52"/>
      <x:c r="K18" s="52"/>
      <x:c r="L18" s="52"/>
      <x:c r="M18" s="21"/>
      <x:c r="N18" s="55"/>
      <x:c r="O18" s="139"/>
      <x:c r="Q18" s="117" t="s">
        <x:v>43</x:v>
      </x:c>
      <x:c r="R18" s="112" t="s">
        <x:v>53</x:v>
      </x:c>
      <x:c r="S18" s="112" t="s">
        <x:v>33</x:v>
      </x:c>
    </x:row>
    <x:row r="19" spans="2:19" ht="26.25" customHeight="1">
      <x:c r="B19" s="5"/>
      <x:c r="C19" s="121"/>
      <x:c r="D19" s="75"/>
      <x:c r="E19" s="75"/>
      <x:c r="F19" s="52"/>
      <x:c r="G19" s="52"/>
      <x:c r="H19" s="122"/>
      <x:c r="I19" s="52"/>
      <x:c r="J19" s="52"/>
      <x:c r="K19" s="52"/>
      <x:c r="L19" s="52"/>
      <x:c r="M19" s="21"/>
      <x:c r="N19" s="55"/>
      <x:c r="O19" s="5"/>
      <x:c r="Q19" s="117" t="s">
        <x:v>41</x:v>
      </x:c>
      <x:c r="R19" s="112" t="s">
        <x:v>56</x:v>
      </x:c>
      <x:c r="S19" s="112" t="s">
        <x:v>51</x:v>
      </x:c>
    </x:row>
    <x:row r="20" spans="2:19" ht="26.25" customHeight="1">
      <x:c r="B20" s="8"/>
      <x:c r="C20" s="8"/>
      <x:c r="D20" s="49"/>
      <x:c r="E20" s="29"/>
      <x:c r="F20" s="50"/>
      <x:c r="G20" s="50"/>
      <x:c r="H20" s="50"/>
      <x:c r="I20" s="50"/>
      <x:c r="J20" s="50"/>
      <x:c r="K20" s="50"/>
      <x:c r="L20" s="50"/>
      <x:c r="M20" s="50"/>
      <x:c r="N20" s="55"/>
      <x:c r="O20" s="8"/>
      <x:c r="Q20" s="118" t="s">
        <x:v>27</x:v>
      </x:c>
      <x:c r="R20" s="113" t="s">
        <x:v>56</x:v>
      </x:c>
      <x:c r="S20" s="113" t="s">
        <x:v>56</x:v>
      </x:c>
    </x:row>
    <x:row r="21" spans="2:19" ht="26.25" customHeight="1">
      <x:c r="B21" s="10"/>
      <x:c r="C21" s="10"/>
      <x:c r="D21" s="53"/>
      <x:c r="E21" s="53"/>
      <x:c r="F21" s="54"/>
      <x:c r="G21" s="54"/>
      <x:c r="H21" s="54"/>
      <x:c r="I21" s="54"/>
      <x:c r="J21" s="54"/>
      <x:c r="K21" s="54"/>
      <x:c r="L21" s="54"/>
      <x:c r="M21" s="54"/>
      <x:c r="N21" s="56">
        <x:f>SUM(N6:O19)</x:f>
        <x:v>203580</x:v>
      </x:c>
      <x:c r="O21" s="10"/>
      <x:c r="Q21" s="108"/>
      <x:c r="R21" s="108"/>
      <x:c r="S21" s="108"/>
    </x:row>
    <x:row r="22" spans="2:19" ht="26.25" customHeight="1">
      <x:c r="B22" s="220" t="s">
        <x:v>134</x:v>
      </x:c>
      <x:c r="C22" s="220"/>
      <x:c r="D22" s="221"/>
      <x:c r="E22" s="220"/>
      <x:c r="F22" s="220"/>
      <x:c r="G22" s="220"/>
      <x:c r="H22" s="220"/>
      <x:c r="I22" s="220"/>
      <x:c r="J22" s="220"/>
      <x:c r="K22" s="220"/>
      <x:c r="L22" s="220"/>
      <x:c r="M22" s="220"/>
      <x:c r="N22" s="220"/>
      <x:c r="O22" s="220"/>
      <x:c r="Q22" s="109"/>
      <x:c r="R22" s="109"/>
      <x:c r="S22" s="109"/>
    </x:row>
    <x:row r="23" spans="2:15" ht="26.25" customHeight="1">
      <x:c r="B23" s="222"/>
      <x:c r="C23" s="222"/>
      <x:c r="D23" s="222"/>
      <x:c r="E23" s="220"/>
      <x:c r="F23" s="222"/>
      <x:c r="G23" s="222"/>
      <x:c r="H23" s="222"/>
      <x:c r="I23" s="222"/>
      <x:c r="J23" s="222"/>
      <x:c r="K23" s="222"/>
      <x:c r="L23" s="222"/>
      <x:c r="M23" s="222"/>
      <x:c r="N23" s="222"/>
      <x:c r="O23" s="222"/>
    </x:row>
    <x:row r="24" ht="26.25" customHeight="1"/>
    <x:row r="25" ht="26.25" customHeight="1"/>
    <x:row r="26" ht="22.5" customHeight="1"/>
    <x:row r="27" ht="22.5" customHeight="1"/>
    <x:row r="28" ht="22.5" customHeight="1"/>
  </x:sheetData>
  <x:mergeCells count="11">
    <x:mergeCell ref="B2:O2"/>
    <x:mergeCell ref="B3:B4"/>
    <x:mergeCell ref="C3:C4"/>
    <x:mergeCell ref="D3:D4"/>
    <x:mergeCell ref="F3:H3"/>
    <x:mergeCell ref="I3:K3"/>
    <x:mergeCell ref="L3:L4"/>
    <x:mergeCell ref="M3:M4"/>
    <x:mergeCell ref="N3:N4"/>
    <x:mergeCell ref="Q4:S5"/>
    <x:mergeCell ref="B22:O23"/>
  </x:mergeCells>
  <x:pageMargins left="0.74805557727813720703" right="0.74805557727813720703" top="0.98430556058883666992" bottom="0.98430556058883666992" header="0.51138889789581298828" footer="0.51138889789581298828"/>
  <x:pageSetup paperSize="9" scale="57" firstPageNumber="1" fitToWidth="1" fitToHeight="1" orientation="portrait" usePrinterDefaults="1" blackAndWhite="0" draft="0" useFirstPageNumber="0" horizontalDpi="600" verticalDpi="600" copies="1"/>
  <x:colBreaks count="1" manualBreakCount="1">
    <x:brk id="15" min="0" max="16383" man="1" pt="0"/>
  </x:colBreaks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>
    <x:tabColor rgb="ff000000"/>
    <x:pageSetUpPr autoPageBreaks="1" fitToPage="1"/>
  </x:sheetPr>
  <x:dimension ref="A1:K25"/>
  <x:sheetViews>
    <x:sheetView view="pageBreakPreview" topLeftCell="A1" zoomScale="90" zoomScaleNormal="90" zoomScaleSheetLayoutView="90" workbookViewId="0">
      <x:pane xSplit="3" ySplit="5" topLeftCell="D7" activePane="bottomRight" state="frozen"/>
      <x:selection pane="bottomRight" activeCell="I28" activeCellId="0" sqref="I28:I28"/>
    </x:sheetView>
  </x:sheetViews>
  <x:sheetFormatPr defaultColWidth="9" defaultRowHeight="16.39999999999999857891"/>
  <x:cols>
    <x:col min="1" max="1" width="2.77734375" style="3" customWidth="1"/>
    <x:col min="2" max="2" width="5.33203125" style="4" customWidth="1"/>
    <x:col min="3" max="3" width="10.5546875" style="4" customWidth="1"/>
    <x:col min="4" max="11" width="13.44140625" style="4" customWidth="1"/>
  </x:cols>
  <x:sheetData>
    <x:row r="1" spans="1:1">
      <x:c r="A1" s="18"/>
    </x:row>
    <x:row r="2" spans="1:11" ht="20.64999999999999857891">
      <x:c r="A2" s="18"/>
      <x:c r="B2" s="213" t="s">
        <x:v>92</x:v>
      </x:c>
      <x:c r="C2" s="214" t="s">
        <x:v>129</x:v>
      </x:c>
      <x:c r="D2" s="214" t="s">
        <x:v>129</x:v>
      </x:c>
      <x:c r="E2" s="213"/>
      <x:c r="F2" s="213"/>
      <x:c r="G2" s="213"/>
      <x:c r="H2" s="213"/>
      <x:c r="I2" s="213"/>
      <x:c r="J2" s="213"/>
      <x:c r="K2" s="213"/>
    </x:row>
    <x:row r="3" spans="1:11" ht="32.75">
      <x:c r="A3" s="18"/>
      <x:c r="B3" s="88" t="s">
        <x:v>22</x:v>
      </x:c>
      <x:c r="C3" s="88" t="s">
        <x:v>12</x:v>
      </x:c>
      <x:c r="D3" s="90" t="s">
        <x:v>14</x:v>
      </x:c>
      <x:c r="E3" s="93" t="s">
        <x:v>75</x:v>
      </x:c>
      <x:c r="F3" s="89" t="s">
        <x:v>104</x:v>
      </x:c>
      <x:c r="G3" s="91" t="s">
        <x:v>113</x:v>
      </x:c>
      <x:c r="H3" s="89" t="s">
        <x:v>100</x:v>
      </x:c>
      <x:c r="I3" s="89" t="s">
        <x:v>114</x:v>
      </x:c>
      <x:c r="J3" s="89" t="s">
        <x:v>101</x:v>
      </x:c>
      <x:c r="K3" s="88" t="s">
        <x:v>10</x:v>
      </x:c>
    </x:row>
    <x:row r="4" spans="1:11" ht="24.75" hidden="1" customHeight="1">
      <x:c r="A4" s="18"/>
      <x:c r="B4" s="8"/>
      <x:c r="C4" s="8"/>
      <x:c r="D4" s="29"/>
      <x:c r="E4" s="29"/>
      <x:c r="F4" s="29"/>
      <x:c r="G4" s="29"/>
      <x:c r="H4" s="29"/>
      <x:c r="I4" s="29"/>
      <x:c r="J4" s="29"/>
      <x:c r="K4" s="29"/>
    </x:row>
    <x:row r="5" spans="1:11" ht="24.75" customHeight="1">
      <x:c r="A5" s="18"/>
      <x:c r="B5" s="5">
        <x:f t="shared" ref="B5:B6" si="0">ROW()-ROW($B$4)</x:f>
        <x:v>1</x:v>
      </x:c>
      <x:c r="C5" s="31">
        <x:f>'1.교직원'!C5</x:f>
        <x:v>0</x:v>
      </x:c>
      <x:c r="D5" s="75">
        <x:f>'1.교직원'!F5</x:f>
        <x:v>0</x:v>
      </x:c>
      <x:c r="E5" s="92">
        <x:f>'3.통상임금'!O6</x:f>
        <x:v>0</x:v>
      </x:c>
      <x:c r="F5" s="92">
        <x:v>3</x:v>
      </x:c>
      <x:c r="G5" s="92"/>
      <x:c r="H5" s="92">
        <x:f>ROUNDDOWN((E5*F5)*1.5,-1)</x:f>
        <x:v>0</x:v>
      </x:c>
      <x:c r="I5" s="92">
        <x:f>ROUNDDOWN(E5/60*G5*1.5,-1)</x:f>
        <x:v>0</x:v>
      </x:c>
      <x:c r="J5" s="92">
        <x:f>H5+I5</x:f>
        <x:v>0</x:v>
      </x:c>
      <x:c r="K5" s="92"/>
    </x:row>
    <x:row r="6" spans="1:11" ht="24.75" hidden="1" customHeight="1">
      <x:c r="A6" s="18"/>
      <x:c r="B6" s="5">
        <x:f t="shared" si="0"/>
        <x:v>2</x:v>
      </x:c>
      <x:c r="C6" s="31">
        <x:f>'1.교직원'!C6</x:f>
        <x:v>0</x:v>
      </x:c>
      <x:c r="D6" s="75">
        <x:f>'1.교직원'!F6</x:f>
        <x:v>0</x:v>
      </x:c>
      <x:c r="E6" s="75"/>
      <x:c r="F6" s="75"/>
      <x:c r="G6" s="75"/>
      <x:c r="H6" s="75"/>
      <x:c r="I6" s="75"/>
      <x:c r="J6" s="92">
        <x:f t="shared" ref="J6:J8" si="1">H6+I6</x:f>
        <x:v>0</x:v>
      </x:c>
      <x:c r="K6" s="75"/>
    </x:row>
    <x:row r="7" spans="1:11" s="3" customFormat="1" ht="24.75" customHeight="1">
      <x:c r="A7" s="18"/>
      <x:c r="B7" s="5">
        <x:v>2</x:v>
      </x:c>
      <x:c r="C7" s="31">
        <x:f>'1.교직원'!C6</x:f>
        <x:v>0</x:v>
      </x:c>
      <x:c r="D7" s="75">
        <x:f>'1.교직원'!F6</x:f>
        <x:v>0</x:v>
      </x:c>
      <x:c r="E7" s="92">
        <x:f>'3.통상임금'!O7</x:f>
        <x:v>0</x:v>
      </x:c>
      <x:c r="F7" s="92">
        <x:v>6</x:v>
      </x:c>
      <x:c r="G7" s="92"/>
      <x:c r="H7" s="92">
        <x:f>ROUNDDOWN((E7*F7)*1,-1)</x:f>
        <x:v>0</x:v>
      </x:c>
      <x:c r="I7" s="92">
        <x:f>ROUNDDOWN(E7/60*G7*1,-1)</x:f>
        <x:v>0</x:v>
      </x:c>
      <x:c r="J7" s="92">
        <x:f t="shared" si="1"/>
        <x:v>0</x:v>
      </x:c>
      <x:c r="K7" s="92"/>
    </x:row>
    <x:row r="8" spans="1:11" ht="26.25" customHeight="1">
      <x:c r="A8" s="18"/>
      <x:c r="B8" s="5">
        <x:v>3</x:v>
      </x:c>
      <x:c r="C8" s="31">
        <x:f>'1.교직원'!C7</x:f>
        <x:v>0</x:v>
      </x:c>
      <x:c r="D8" s="75">
        <x:f>'1.교직원'!F7</x:f>
        <x:v>0</x:v>
      </x:c>
      <x:c r="E8" s="92">
        <x:f>'3.통상임금'!O8</x:f>
        <x:v>0</x:v>
      </x:c>
      <x:c r="F8" s="92">
        <x:v>2</x:v>
      </x:c>
      <x:c r="G8" s="92">
        <x:v>31</x:v>
      </x:c>
      <x:c r="H8" s="92">
        <x:f>ROUNDDOWN((E8*F8)*1.5,-1)</x:f>
        <x:v>0</x:v>
      </x:c>
      <x:c r="I8" s="92">
        <x:f>ROUNDDOWN(E8/60*G8*1.5,-1)</x:f>
        <x:v>0</x:v>
      </x:c>
      <x:c r="J8" s="92">
        <x:f t="shared" si="1"/>
        <x:v>0</x:v>
      </x:c>
      <x:c r="K8" s="92"/>
    </x:row>
    <x:row r="9" spans="1:11" ht="26.25" customHeight="1">
      <x:c r="A9" s="18"/>
      <x:c r="B9" s="5">
        <x:v>4</x:v>
      </x:c>
      <x:c r="C9" s="31"/>
      <x:c r="D9" s="75"/>
      <x:c r="E9" s="92"/>
      <x:c r="F9" s="92"/>
      <x:c r="G9" s="92"/>
      <x:c r="H9" s="92"/>
      <x:c r="I9" s="92"/>
      <x:c r="J9" s="92"/>
      <x:c r="K9" s="92"/>
    </x:row>
    <x:row r="10" spans="1:11" ht="26.25" customHeight="1">
      <x:c r="A10" s="18"/>
      <x:c r="B10" s="5">
        <x:v>5</x:v>
      </x:c>
      <x:c r="C10" s="31"/>
      <x:c r="D10" s="75"/>
      <x:c r="E10" s="92"/>
      <x:c r="F10" s="92"/>
      <x:c r="G10" s="92"/>
      <x:c r="H10" s="92"/>
      <x:c r="I10" s="92"/>
      <x:c r="J10" s="92"/>
      <x:c r="K10" s="92"/>
    </x:row>
    <x:row r="11" spans="1:11" ht="26.25" customHeight="1">
      <x:c r="A11" s="18"/>
      <x:c r="B11" s="5">
        <x:v>6</x:v>
      </x:c>
      <x:c r="C11" s="31"/>
      <x:c r="D11" s="75"/>
      <x:c r="E11" s="92"/>
      <x:c r="F11" s="92"/>
      <x:c r="G11" s="92"/>
      <x:c r="H11" s="92"/>
      <x:c r="I11" s="92"/>
      <x:c r="J11" s="92"/>
      <x:c r="K11" s="92"/>
    </x:row>
    <x:row r="12" spans="1:11" ht="26.25" customHeight="1">
      <x:c r="A12" s="18"/>
      <x:c r="B12" s="5">
        <x:v>7</x:v>
      </x:c>
      <x:c r="C12" s="31"/>
      <x:c r="D12" s="75"/>
      <x:c r="E12" s="92">
        <x:f>'3.통상임금'!O12</x:f>
        <x:v>0</x:v>
      </x:c>
      <x:c r="F12" s="92">
        <x:v>1.8300000000000001</x:v>
      </x:c>
      <x:c r="G12" s="92">
        <x:v>0</x:v>
      </x:c>
      <x:c r="H12" s="92">
        <x:f>ROUNDDOWN((E12*F12)*1.5,-1)</x:f>
        <x:v>0</x:v>
      </x:c>
      <x:c r="I12" s="92">
        <x:f>ROUNDDOWN(E12/60*G12*1.5,-1)</x:f>
        <x:v>0</x:v>
      </x:c>
      <x:c r="J12" s="92">
        <x:f>H12+I12</x:f>
        <x:v>0</x:v>
      </x:c>
      <x:c r="K12" s="92"/>
    </x:row>
    <x:row r="13" spans="1:11" ht="26.25" customHeight="1">
      <x:c r="A13" s="18"/>
      <x:c r="B13" s="5">
        <x:v>8</x:v>
      </x:c>
      <x:c r="C13" s="31"/>
      <x:c r="D13" s="75"/>
      <x:c r="E13" s="92"/>
      <x:c r="F13" s="92"/>
      <x:c r="G13" s="92"/>
      <x:c r="H13" s="92"/>
      <x:c r="I13" s="92"/>
      <x:c r="J13" s="92"/>
      <x:c r="K13" s="92"/>
    </x:row>
    <x:row r="14" spans="1:11" ht="26.25" customHeight="1">
      <x:c r="A14" s="18"/>
      <x:c r="B14" s="5">
        <x:v>9</x:v>
      </x:c>
      <x:c r="C14" s="31"/>
      <x:c r="D14" s="75"/>
      <x:c r="E14" s="92"/>
      <x:c r="F14" s="92"/>
      <x:c r="G14" s="92"/>
      <x:c r="H14" s="92"/>
      <x:c r="I14" s="92"/>
      <x:c r="J14" s="92"/>
      <x:c r="K14" s="92"/>
    </x:row>
    <x:row r="15" spans="1:11" ht="26.25" customHeight="1">
      <x:c r="A15" s="18"/>
      <x:c r="B15" s="5">
        <x:v>10</x:v>
      </x:c>
      <x:c r="C15" s="31"/>
      <x:c r="D15" s="75"/>
      <x:c r="E15" s="92"/>
      <x:c r="F15" s="92"/>
      <x:c r="G15" s="92"/>
      <x:c r="H15" s="92"/>
      <x:c r="I15" s="92"/>
      <x:c r="J15" s="92"/>
      <x:c r="K15" s="92"/>
    </x:row>
    <x:row r="16" spans="1:11" ht="26.25" customHeight="1">
      <x:c r="A16" s="18"/>
      <x:c r="B16" s="5">
        <x:v>11</x:v>
      </x:c>
      <x:c r="C16" s="31"/>
      <x:c r="D16" s="75"/>
      <x:c r="E16" s="92"/>
      <x:c r="F16" s="92"/>
      <x:c r="G16" s="92"/>
      <x:c r="H16" s="92"/>
      <x:c r="I16" s="92"/>
      <x:c r="J16" s="92"/>
      <x:c r="K16" s="92"/>
    </x:row>
    <x:row r="17" spans="1:11" ht="26.25" customHeight="1">
      <x:c r="A17" s="18"/>
      <x:c r="B17" s="5">
        <x:v>12</x:v>
      </x:c>
      <x:c r="C17" s="31"/>
      <x:c r="D17" s="75"/>
      <x:c r="E17" s="92"/>
      <x:c r="F17" s="92"/>
      <x:c r="G17" s="92"/>
      <x:c r="H17" s="92"/>
      <x:c r="I17" s="92"/>
      <x:c r="J17" s="92"/>
      <x:c r="K17" s="92"/>
    </x:row>
    <x:row r="18" spans="1:11" ht="26.25" customHeight="1">
      <x:c r="A18" s="18"/>
      <x:c r="B18" s="5">
        <x:v>13</x:v>
      </x:c>
      <x:c r="C18" s="31"/>
      <x:c r="D18" s="75"/>
      <x:c r="E18" s="92"/>
      <x:c r="F18" s="92"/>
      <x:c r="G18" s="92"/>
      <x:c r="H18" s="92"/>
      <x:c r="I18" s="92"/>
      <x:c r="J18" s="92"/>
      <x:c r="K18" s="92"/>
    </x:row>
    <x:row r="19" spans="1:11" ht="26.25" customHeight="1">
      <x:c r="A19" s="18"/>
      <x:c r="B19" s="5">
        <x:v>14</x:v>
      </x:c>
      <x:c r="C19" s="31"/>
      <x:c r="D19" s="75"/>
      <x:c r="E19" s="92"/>
      <x:c r="F19" s="92"/>
      <x:c r="G19" s="92"/>
      <x:c r="H19" s="92"/>
      <x:c r="I19" s="92"/>
      <x:c r="J19" s="92"/>
      <x:c r="K19" s="92"/>
    </x:row>
    <x:row r="20" spans="1:11" ht="26.25" customHeight="1">
      <x:c r="A20" s="18"/>
      <x:c r="B20" s="8"/>
      <x:c r="C20" s="8"/>
      <x:c r="D20" s="29"/>
      <x:c r="E20" s="94"/>
      <x:c r="F20" s="94"/>
      <x:c r="G20" s="94"/>
      <x:c r="H20" s="94"/>
      <x:c r="I20" s="94"/>
      <x:c r="J20" s="94"/>
      <x:c r="K20" s="94"/>
    </x:row>
    <x:row r="21" spans="1:11" ht="26.25" customHeight="1">
      <x:c r="A21" s="18"/>
      <x:c r="B21" s="10"/>
      <x:c r="C21" s="10"/>
      <x:c r="D21" s="53"/>
      <x:c r="E21" s="53"/>
      <x:c r="F21" s="53"/>
      <x:c r="G21" s="53"/>
      <x:c r="H21" s="53"/>
      <x:c r="I21" s="53"/>
      <x:c r="J21" s="53"/>
      <x:c r="K21" s="53"/>
    </x:row>
    <x:row r="22" spans="2:11" s="20" customFormat="1" ht="26.25" hidden="1" customHeight="1">
      <x:c r="B22" s="68" t="s">
        <x:v>9</x:v>
      </x:c>
      <x:c r="C22" s="68"/>
      <x:c r="D22" s="69"/>
      <x:c r="E22" s="69"/>
      <x:c r="F22" s="69"/>
      <x:c r="G22" s="69"/>
      <x:c r="H22" s="69"/>
      <x:c r="I22" s="69"/>
      <x:c r="J22" s="69"/>
      <x:c r="K22" s="69"/>
    </x:row>
    <x:row r="23" spans="2:11" s="20" customFormat="1" ht="26.25" customHeight="1">
      <x:c r="B23" s="222" t="s">
        <x:v>135</x:v>
      </x:c>
      <x:c r="C23" s="222"/>
      <x:c r="D23" s="223"/>
      <x:c r="E23" s="222"/>
      <x:c r="F23" s="222"/>
      <x:c r="G23" s="222"/>
      <x:c r="H23" s="222"/>
      <x:c r="I23" s="222"/>
      <x:c r="J23" s="222"/>
      <x:c r="K23" s="222"/>
    </x:row>
    <x:row r="24" spans="2:11" s="20" customFormat="1" ht="26.25" customHeight="1">
      <x:c r="B24" s="222"/>
      <x:c r="C24" s="222"/>
      <x:c r="D24" s="223"/>
      <x:c r="E24" s="222"/>
      <x:c r="F24" s="222"/>
      <x:c r="G24" s="222"/>
      <x:c r="H24" s="222"/>
      <x:c r="I24" s="222"/>
      <x:c r="J24" s="222"/>
      <x:c r="K24" s="222"/>
    </x:row>
    <x:row r="25" spans="2:11" s="20" customFormat="1" ht="9" customHeight="1">
      <x:c r="B25" s="4"/>
      <x:c r="C25" s="4"/>
      <x:c r="D25" s="4"/>
      <x:c r="E25" s="43"/>
      <x:c r="F25" s="43"/>
      <x:c r="G25" s="43"/>
      <x:c r="H25" s="43"/>
      <x:c r="I25" s="43"/>
      <x:c r="J25" s="43"/>
      <x:c r="K25" s="43"/>
    </x:row>
    <x:row r="26" ht="26.25" customHeight="1"/>
  </x:sheetData>
  <x:mergeCells count="2">
    <x:mergeCell ref="B2:K2"/>
    <x:mergeCell ref="B23:K24"/>
  </x:mergeCells>
  <x:pageMargins left="0.74805557727813720703" right="0.74805557727813720703" top="0.98430556058883666992" bottom="0.98430556058883666992" header="0.51138889789581298828" footer="0.51138889789581298828"/>
  <x:pageSetup paperSize="9" scale="85" firstPageNumber="1" fitToWidth="1" fitToHeight="1" orientation="landscape" usePrinterDefaults="1" blackAndWhite="0" draft="0" useFirstPageNumber="0" horizontalDpi="600" verticalDpi="600" copies="1"/>
  <x:colBreaks count="1" manualBreakCount="1">
    <x:brk id="1" min="0" max="16383" man="1" pt="0"/>
  </x:colBreaks>
</x:worksheet>
</file>

<file path=xl/worksheets/sheet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tabColor rgb="ff000000"/>
    <x:pageSetUpPr autoPageBreaks="1" fitToPage="1"/>
  </x:sheetPr>
  <x:dimension ref="B2:AB39"/>
  <x:sheetViews>
    <x:sheetView view="pageBreakPreview" topLeftCell="A1" zoomScale="90" zoomScaleNormal="90" zoomScaleSheetLayoutView="90" workbookViewId="0">
      <x:pane xSplit="3" ySplit="9" topLeftCell="F11" activePane="bottomRight" state="frozen"/>
      <x:selection pane="bottomRight" activeCell="P18" activeCellId="0" sqref="P18:P18"/>
    </x:sheetView>
  </x:sheetViews>
  <x:sheetFormatPr defaultColWidth="8.88671875" defaultRowHeight="16.39999999999999857891"/>
  <x:cols>
    <x:col min="1" max="1" width="1.21875" style="4" customWidth="1"/>
    <x:col min="2" max="2" width="4.44140625" style="4" customWidth="1"/>
    <x:col min="3" max="3" width="9.109375" style="4" customWidth="1"/>
    <x:col min="4" max="4" width="10.77734375" style="4" customWidth="1"/>
    <x:col min="5" max="5" width="9.5546875" style="4" bestFit="1" customWidth="1"/>
    <x:col min="6" max="6" width="10.109375" style="4" customWidth="1"/>
    <x:col min="7" max="7" width="8.88671875" style="4" customWidth="1"/>
    <x:col min="8" max="13" width="8.88671875" style="4" bestFit="1" customWidth="1"/>
    <x:col min="14" max="14" width="8.88671875" style="4"/>
    <x:col min="15" max="16" width="8.88671875" style="4" bestFit="1" customWidth="1"/>
    <x:col min="17" max="17" width="8.88671875" style="4" customWidth="1"/>
    <x:col min="18" max="18" width="7" style="4" customWidth="1"/>
    <x:col min="19" max="19" width="8.88671875" style="4" bestFit="1" customWidth="1"/>
    <x:col min="20" max="20" width="8.88671875" style="4" customWidth="1"/>
    <x:col min="21" max="23" width="4.77734375" style="4" customWidth="1"/>
    <x:col min="24" max="24" width="10.109375" style="4" customWidth="1"/>
    <x:col min="25" max="25" width="12.77734375" style="4" customWidth="1"/>
    <x:col min="26" max="26" width="10.109375" style="4" customWidth="1"/>
    <x:col min="27" max="27" width="8.88671875" style="4" customWidth="1"/>
    <x:col min="28" max="28" width="8.88671875" style="4" hidden="1" bestFit="1" customWidth="1"/>
    <x:col min="29" max="16384" width="8.88671875" style="4"/>
  </x:cols>
  <x:sheetData>
    <x:row r="1" ht="6.75" customHeight="1"/>
    <x:row r="2" spans="2:27" ht="16.35000000000000142109" customHeight="1">
      <x:c r="B2" s="224"/>
      <x:c r="C2" s="224"/>
      <x:c r="D2" s="24" t="s">
        <x:v>110</x:v>
      </x:c>
      <x:c r="E2" s="7">
        <x:f t="shared" ref="E2:AA2" si="0">COLUMN()-COLUMN($C$1)+1</x:f>
        <x:v>3</x:v>
      </x:c>
      <x:c r="F2" s="7">
        <x:f t="shared" si="0"/>
        <x:v>4</x:v>
      </x:c>
      <x:c r="G2" s="7">
        <x:f t="shared" si="0"/>
        <x:v>5</x:v>
      </x:c>
      <x:c r="H2" s="7">
        <x:f t="shared" si="0"/>
        <x:v>6</x:v>
      </x:c>
      <x:c r="I2" s="7">
        <x:f t="shared" si="0"/>
        <x:v>7</x:v>
      </x:c>
      <x:c r="J2" s="7">
        <x:f t="shared" si="0"/>
        <x:v>8</x:v>
      </x:c>
      <x:c r="K2" s="7">
        <x:f t="shared" si="0"/>
        <x:v>9</x:v>
      </x:c>
      <x:c r="L2" s="7">
        <x:f t="shared" si="0"/>
        <x:v>10</x:v>
      </x:c>
      <x:c r="M2" s="7">
        <x:f t="shared" si="0"/>
        <x:v>11</x:v>
      </x:c>
      <x:c r="N2" s="7">
        <x:f t="shared" si="0"/>
        <x:v>12</x:v>
      </x:c>
      <x:c r="O2" s="7">
        <x:f t="shared" si="0"/>
        <x:v>13</x:v>
      </x:c>
      <x:c r="P2" s="7">
        <x:f t="shared" si="0"/>
        <x:v>14</x:v>
      </x:c>
      <x:c r="Q2" s="7">
        <x:f t="shared" si="0"/>
        <x:v>15</x:v>
      </x:c>
      <x:c r="R2" s="7">
        <x:f t="shared" si="0"/>
        <x:v>16</x:v>
      </x:c>
      <x:c r="S2" s="7">
        <x:f t="shared" si="0"/>
        <x:v>17</x:v>
      </x:c>
      <x:c r="T2" s="7">
        <x:f t="shared" si="0"/>
        <x:v>18</x:v>
      </x:c>
      <x:c r="U2" s="7">
        <x:f t="shared" si="0"/>
        <x:v>19</x:v>
      </x:c>
      <x:c r="V2" s="7">
        <x:f t="shared" si="0"/>
        <x:v>20</x:v>
      </x:c>
      <x:c r="W2" s="7">
        <x:f t="shared" si="0"/>
        <x:v>21</x:v>
      </x:c>
      <x:c r="X2" s="7">
        <x:f t="shared" si="0"/>
        <x:v>22</x:v>
      </x:c>
      <x:c r="Y2" s="7">
        <x:f t="shared" si="0"/>
        <x:v>23</x:v>
      </x:c>
      <x:c r="Z2" s="7">
        <x:f t="shared" si="0"/>
        <x:v>24</x:v>
      </x:c>
      <x:c r="AA2" s="7">
        <x:f t="shared" si="0"/>
        <x:v>25</x:v>
      </x:c>
    </x:row>
    <x:row r="3" spans="2:28" ht="26.35000000000000142109">
      <x:c r="B3" s="225"/>
      <x:c r="C3" s="225"/>
      <x:c r="D3" s="225"/>
      <x:c r="E3" s="225"/>
      <x:c r="F3" s="225"/>
      <x:c r="G3" s="225"/>
      <x:c r="H3" s="225"/>
      <x:c r="I3" s="225"/>
      <x:c r="J3" s="225"/>
      <x:c r="K3" s="225"/>
      <x:c r="L3" s="225"/>
      <x:c r="M3" s="225"/>
      <x:c r="N3" s="225"/>
      <x:c r="O3" s="225"/>
      <x:c r="P3" s="225"/>
      <x:c r="Q3" s="225"/>
      <x:c r="R3" s="225"/>
      <x:c r="S3" s="225"/>
      <x:c r="T3" s="225"/>
      <x:c r="U3" s="225"/>
      <x:c r="V3" s="225"/>
      <x:c r="W3" s="225"/>
      <x:c r="X3" s="225"/>
      <x:c r="Y3" s="225"/>
      <x:c r="Z3" s="225"/>
      <x:c r="AA3" s="225"/>
      <x:c r="AB3" s="225"/>
    </x:row>
    <x:row r="4" spans="2:20" ht="30" customHeight="1">
      <x:c r="B4" s="226" t="s">
        <x:v>18</x:v>
      </x:c>
      <x:c r="C4" s="226"/>
      <x:c r="D4" s="57">
        <x:v>45716</x:v>
      </x:c>
      <x:c r="E4" s="95"/>
      <x:c r="F4" s="227"/>
      <x:c r="G4" s="228"/>
      <x:c r="H4" s="96"/>
      <x:c r="I4" s="96"/>
      <x:c r="J4" s="96"/>
      <x:c r="L4" s="227"/>
      <x:c r="M4" s="228"/>
      <x:c r="N4" s="97"/>
      <x:c r="O4" s="97"/>
      <x:c r="P4" s="97"/>
      <x:c r="Q4" s="97"/>
      <x:c r="R4" s="97"/>
      <x:c r="S4" s="97"/>
      <x:c r="T4" s="97"/>
    </x:row>
    <x:row r="6" spans="2:28" ht="30" customHeight="1">
      <x:c r="B6" s="229" t="s">
        <x:v>22</x:v>
      </x:c>
      <x:c r="C6" s="229" t="s">
        <x:v>12</x:v>
      </x:c>
      <x:c r="D6" s="229" t="s">
        <x:v>14</x:v>
      </x:c>
      <x:c r="E6" s="229" t="s">
        <x:v>24</x:v>
      </x:c>
      <x:c r="F6" s="230" t="s">
        <x:v>64</x:v>
      </x:c>
      <x:c r="G6" s="230"/>
      <x:c r="H6" s="230"/>
      <x:c r="I6" s="230"/>
      <x:c r="J6" s="230"/>
      <x:c r="K6" s="230"/>
      <x:c r="L6" s="230"/>
      <x:c r="M6" s="230"/>
      <x:c r="N6" s="230"/>
      <x:c r="O6" s="230"/>
      <x:c r="P6" s="230"/>
      <x:c r="Q6" s="230"/>
      <x:c r="R6" s="230"/>
      <x:c r="S6" s="230"/>
      <x:c r="T6" s="231" t="s">
        <x:v>63</x:v>
      </x:c>
      <x:c r="U6" s="234" t="s">
        <x:v>68</x:v>
      </x:c>
      <x:c r="V6" s="234"/>
      <x:c r="W6" s="234"/>
      <x:c r="X6" s="234" t="s">
        <x:v>127</x:v>
      </x:c>
      <x:c r="Y6" s="234"/>
      <x:c r="Z6" s="234"/>
      <x:c r="AA6" s="234" t="s">
        <x:v>10</x:v>
      </x:c>
      <x:c r="AB6" s="6"/>
    </x:row>
    <x:row r="7" spans="2:28" ht="30" customHeight="1">
      <x:c r="B7" s="229"/>
      <x:c r="C7" s="229"/>
      <x:c r="D7" s="229"/>
      <x:c r="E7" s="229"/>
      <x:c r="F7" s="235" t="s">
        <x:v>2</x:v>
      </x:c>
      <x:c r="G7" s="235"/>
      <x:c r="H7" s="235"/>
      <x:c r="I7" s="235"/>
      <x:c r="J7" s="235"/>
      <x:c r="K7" s="235"/>
      <x:c r="L7" s="235"/>
      <x:c r="M7" s="235"/>
      <x:c r="N7" s="235"/>
      <x:c r="O7" s="235"/>
      <x:c r="P7" s="235"/>
      <x:c r="Q7" s="235"/>
      <x:c r="R7" s="210" t="s">
        <x:v>95</x:v>
      </x:c>
      <x:c r="S7" s="210" t="s">
        <x:v>70</x:v>
      </x:c>
      <x:c r="T7" s="232"/>
      <x:c r="U7" s="210"/>
      <x:c r="V7" s="210"/>
      <x:c r="W7" s="210"/>
      <x:c r="X7" s="210"/>
      <x:c r="Y7" s="210"/>
      <x:c r="Z7" s="210"/>
      <x:c r="AA7" s="210"/>
      <x:c r="AB7" s="6"/>
    </x:row>
    <x:row r="8" spans="2:28" ht="30" customHeight="1">
      <x:c r="B8" s="229"/>
      <x:c r="C8" s="229"/>
      <x:c r="D8" s="229"/>
      <x:c r="E8" s="229"/>
      <x:c r="F8" s="235" t="s">
        <x:v>1</x:v>
      </x:c>
      <x:c r="G8" s="235"/>
      <x:c r="H8" s="235"/>
      <x:c r="I8" s="235"/>
      <x:c r="J8" s="235"/>
      <x:c r="K8" s="235"/>
      <x:c r="L8" s="235"/>
      <x:c r="M8" s="235" t="s">
        <x:v>0</x:v>
      </x:c>
      <x:c r="N8" s="235"/>
      <x:c r="O8" s="235"/>
      <x:c r="P8" s="235"/>
      <x:c r="Q8" s="210" t="s">
        <x:v>61</x:v>
      </x:c>
      <x:c r="R8" s="235"/>
      <x:c r="S8" s="235"/>
      <x:c r="T8" s="233"/>
      <x:c r="U8" s="235" t="s">
        <x:v>20</x:v>
      </x:c>
      <x:c r="V8" s="210" t="s">
        <x:v>69</x:v>
      </x:c>
      <x:c r="W8" s="235" t="s">
        <x:v>19</x:v>
      </x:c>
      <x:c r="X8" s="210" t="s">
        <x:v>76</x:v>
      </x:c>
      <x:c r="Y8" s="236" t="s">
        <x:v>94</x:v>
      </x:c>
      <x:c r="Z8" s="210" t="s">
        <x:v>60</x:v>
      </x:c>
      <x:c r="AA8" s="210"/>
      <x:c r="AB8" s="6"/>
    </x:row>
    <x:row r="9" spans="2:28" ht="52.5" customHeight="1">
      <x:c r="B9" s="229"/>
      <x:c r="C9" s="229"/>
      <x:c r="D9" s="229"/>
      <x:c r="E9" s="229"/>
      <x:c r="F9" s="87" t="s">
        <x:v>17</x:v>
      </x:c>
      <x:c r="G9" s="102" t="s">
        <x:v>67</x:v>
      </x:c>
      <x:c r="H9" s="98" t="s">
        <x:v>77</x:v>
      </x:c>
      <x:c r="I9" s="100" t="s">
        <x:v>81</x:v>
      </x:c>
      <x:c r="J9" s="98" t="s">
        <x:v>126</x:v>
      </x:c>
      <x:c r="K9" s="87" t="s">
        <x:v>36</x:v>
      </x:c>
      <x:c r="L9" s="98" t="s">
        <x:v>25</x:v>
      </x:c>
      <x:c r="M9" s="98" t="s">
        <x:v>121</x:v>
      </x:c>
      <x:c r="N9" s="98" t="s">
        <x:v>106</x:v>
      </x:c>
      <x:c r="O9" s="180" t="s">
        <x:v>99</x:v>
      </x:c>
      <x:c r="P9" s="98" t="s">
        <x:v>66</x:v>
      </x:c>
      <x:c r="Q9" s="210"/>
      <x:c r="R9" s="235"/>
      <x:c r="S9" s="235"/>
      <x:c r="T9" s="233"/>
      <x:c r="U9" s="235"/>
      <x:c r="V9" s="235"/>
      <x:c r="W9" s="235"/>
      <x:c r="X9" s="235"/>
      <x:c r="Y9" s="237"/>
      <x:c r="Z9" s="235"/>
      <x:c r="AA9" s="235"/>
      <x:c r="AB9" s="6"/>
    </x:row>
    <x:row r="10" spans="2:28" hidden="1">
      <x:c r="B10" s="11"/>
      <x:c r="C10" s="11"/>
      <x:c r="D10" s="12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48"/>
      <x:c r="Z10" s="11"/>
      <x:c r="AA10" s="11"/>
      <x:c r="AB10" s="11"/>
    </x:row>
    <x:row r="11" spans="2:28" ht="30" customHeight="1">
      <x:c r="B11" s="13">
        <x:f t="shared" ref="B11:B23" si="1">ROW()-ROW($B$10)</x:f>
        <x:v>1</x:v>
      </x:c>
      <x:c r="C11" s="31">
        <x:f>'1.교직원'!C5</x:f>
        <x:v>0</x:v>
      </x:c>
      <x:c r="D11" s="75">
        <x:f>'1.교직원'!F5</x:f>
        <x:v>0</x:v>
      </x:c>
      <x:c r="E11" s="66">
        <x:v>41306</x:v>
      </x:c>
      <x:c r="F11" s="15"/>
      <x:c r="G11" s="15"/>
      <x:c r="H11" s="15"/>
      <x:c r="I11" s="15"/>
      <x:c r="J11" s="15"/>
      <x:c r="K11" s="15"/>
      <x:c r="L11" s="55"/>
      <x:c r="M11" s="14"/>
      <x:c r="N11" s="15"/>
      <x:c r="O11" s="14"/>
      <x:c r="P11" s="55">
        <x:f>SUM(M11:O11)*3/12</x:f>
        <x:v>0</x:v>
      </x:c>
      <x:c r="Q11" s="15">
        <x:f>L11+P11</x:f>
        <x:v>0</x:v>
      </x:c>
      <x:c r="R11" s="16">
        <x:v>90</x:v>
      </x:c>
      <x:c r="S11" s="146">
        <x:f>ROUNDDOWN(Q11/R11,-1)</x:f>
        <x:v>0</x:v>
      </x:c>
      <x:c r="T11" s="147">
        <x:v>101792</x:v>
      </x:c>
      <x:c r="U11" s="67">
        <x:v>12</x:v>
      </x:c>
      <x:c r="V11" s="67">
        <x:v>30</x:v>
      </x:c>
      <x:c r="W11" s="17">
        <x:f>U11+V11/365</x:f>
        <x:v>12.082191780821917</x:v>
      </x:c>
      <x:c r="X11" s="14">
        <x:v>32339600</x:v>
      </x:c>
      <x:c r="Y11" s="149">
        <x:f>Z11-X11</x:f>
        <x:v>4556510</x:v>
      </x:c>
      <x:c r="Z11" s="15">
        <x:f>ROUNDDOWN(MAX(S11,T11)*30*W11,-1)</x:f>
        <x:v>36896110</x:v>
      </x:c>
      <x:c r="AA11" s="15"/>
      <x:c r="AB11" s="14"/>
    </x:row>
    <x:row r="12" spans="2:28" ht="30" customHeight="1">
      <x:c r="B12" s="13">
        <x:f t="shared" si="1"/>
        <x:v>2</x:v>
      </x:c>
      <x:c r="C12" s="31"/>
      <x:c r="D12" s="75"/>
      <x:c r="E12" s="66"/>
      <x:c r="F12" s="15"/>
      <x:c r="G12" s="15"/>
      <x:c r="H12" s="15"/>
      <x:c r="I12" s="15"/>
      <x:c r="J12" s="15"/>
      <x:c r="K12" s="15"/>
      <x:c r="L12" s="55"/>
      <x:c r="M12" s="14"/>
      <x:c r="N12" s="15"/>
      <x:c r="O12" s="14"/>
      <x:c r="P12" s="55"/>
      <x:c r="Q12" s="15"/>
      <x:c r="R12" s="16"/>
      <x:c r="S12" s="146"/>
      <x:c r="T12" s="147"/>
      <x:c r="U12" s="67"/>
      <x:c r="V12" s="67"/>
      <x:c r="W12" s="17"/>
      <x:c r="X12" s="14"/>
      <x:c r="Y12" s="149"/>
      <x:c r="Z12" s="15"/>
      <x:c r="AA12" s="15"/>
      <x:c r="AB12" s="14"/>
    </x:row>
    <x:row r="13" spans="2:28" ht="30" customHeight="1">
      <x:c r="B13" s="13">
        <x:f t="shared" si="1"/>
        <x:v>3</x:v>
      </x:c>
      <x:c r="C13" s="31"/>
      <x:c r="D13" s="75"/>
      <x:c r="E13" s="66"/>
      <x:c r="F13" s="15"/>
      <x:c r="G13" s="15"/>
      <x:c r="H13" s="15"/>
      <x:c r="I13" s="15"/>
      <x:c r="J13" s="15"/>
      <x:c r="K13" s="15"/>
      <x:c r="L13" s="55"/>
      <x:c r="M13" s="14"/>
      <x:c r="N13" s="15"/>
      <x:c r="O13" s="14"/>
      <x:c r="P13" s="58"/>
      <x:c r="Q13" s="15"/>
      <x:c r="R13" s="16"/>
      <x:c r="S13" s="146"/>
      <x:c r="T13" s="147"/>
      <x:c r="U13" s="67"/>
      <x:c r="V13" s="67"/>
      <x:c r="W13" s="17"/>
      <x:c r="X13" s="14"/>
      <x:c r="Y13" s="149"/>
      <x:c r="Z13" s="126"/>
      <x:c r="AA13" s="15"/>
      <x:c r="AB13" s="14"/>
    </x:row>
    <x:row r="14" spans="2:28" ht="30" customHeight="1">
      <x:c r="B14" s="13">
        <x:f t="shared" si="1"/>
        <x:v>4</x:v>
      </x:c>
      <x:c r="C14" s="31"/>
      <x:c r="D14" s="75"/>
      <x:c r="E14" s="66"/>
      <x:c r="F14" s="15"/>
      <x:c r="G14" s="15"/>
      <x:c r="H14" s="15"/>
      <x:c r="I14" s="15"/>
      <x:c r="J14" s="15"/>
      <x:c r="K14" s="15"/>
      <x:c r="L14" s="55"/>
      <x:c r="M14" s="14"/>
      <x:c r="N14" s="15"/>
      <x:c r="O14" s="14"/>
      <x:c r="P14" s="55"/>
      <x:c r="Q14" s="15"/>
      <x:c r="R14" s="16"/>
      <x:c r="S14" s="146"/>
      <x:c r="T14" s="147"/>
      <x:c r="U14" s="67"/>
      <x:c r="V14" s="67"/>
      <x:c r="W14" s="17"/>
      <x:c r="X14" s="14"/>
      <x:c r="Y14" s="149"/>
      <x:c r="Z14" s="15"/>
      <x:c r="AA14" s="15"/>
      <x:c r="AB14" s="14"/>
    </x:row>
    <x:row r="15" spans="2:28" ht="30" customHeight="1">
      <x:c r="B15" s="13">
        <x:f t="shared" si="1"/>
        <x:v>5</x:v>
      </x:c>
      <x:c r="C15" s="31"/>
      <x:c r="D15" s="75"/>
      <x:c r="E15" s="66">
        <x:v>41306</x:v>
      </x:c>
      <x:c r="F15" s="15"/>
      <x:c r="G15" s="15"/>
      <x:c r="H15" s="15"/>
      <x:c r="I15" s="15"/>
      <x:c r="J15" s="15"/>
      <x:c r="K15" s="15"/>
      <x:c r="L15" s="55"/>
      <x:c r="M15" s="14"/>
      <x:c r="N15" s="15"/>
      <x:c r="O15" s="14"/>
      <x:c r="P15" s="55"/>
      <x:c r="Q15" s="15"/>
      <x:c r="R15" s="16"/>
      <x:c r="S15" s="146"/>
      <x:c r="T15" s="147"/>
      <x:c r="U15" s="67"/>
      <x:c r="V15" s="67"/>
      <x:c r="W15" s="17"/>
      <x:c r="X15" s="14"/>
      <x:c r="Y15" s="149"/>
      <x:c r="Z15" s="15"/>
      <x:c r="AA15" s="185"/>
      <x:c r="AB15" s="14"/>
    </x:row>
    <x:row r="16" spans="2:28" ht="30" customHeight="1">
      <x:c r="B16" s="13">
        <x:f t="shared" si="1"/>
        <x:v>6</x:v>
      </x:c>
      <x:c r="C16" s="121"/>
      <x:c r="D16" s="75"/>
      <x:c r="E16" s="66"/>
      <x:c r="F16" s="15"/>
      <x:c r="G16" s="15"/>
      <x:c r="H16" s="15"/>
      <x:c r="I16" s="15"/>
      <x:c r="J16" s="15"/>
      <x:c r="K16" s="15"/>
      <x:c r="L16" s="55"/>
      <x:c r="M16" s="14"/>
      <x:c r="N16" s="15"/>
      <x:c r="O16" s="14"/>
      <x:c r="P16" s="58"/>
      <x:c r="Q16" s="15"/>
      <x:c r="R16" s="16"/>
      <x:c r="S16" s="146"/>
      <x:c r="T16" s="147"/>
      <x:c r="U16" s="67"/>
      <x:c r="V16" s="67"/>
      <x:c r="W16" s="17"/>
      <x:c r="X16" s="14"/>
      <x:c r="Y16" s="149"/>
      <x:c r="Z16" s="126"/>
      <x:c r="AA16" s="15"/>
      <x:c r="AB16" s="14"/>
    </x:row>
    <x:row r="17" spans="2:28" ht="30" customHeight="1">
      <x:c r="B17" s="13">
        <x:f t="shared" si="1"/>
        <x:v>7</x:v>
      </x:c>
      <x:c r="C17" s="121"/>
      <x:c r="D17" s="75"/>
      <x:c r="E17" s="66"/>
      <x:c r="F17" s="15"/>
      <x:c r="G17" s="15"/>
      <x:c r="H17" s="15"/>
      <x:c r="I17" s="15"/>
      <x:c r="J17" s="15"/>
      <x:c r="K17" s="15"/>
      <x:c r="L17" s="55"/>
      <x:c r="M17" s="14"/>
      <x:c r="N17" s="15"/>
      <x:c r="O17" s="14"/>
      <x:c r="P17" s="58"/>
      <x:c r="Q17" s="15"/>
      <x:c r="R17" s="16"/>
      <x:c r="S17" s="146"/>
      <x:c r="T17" s="147"/>
      <x:c r="U17" s="67"/>
      <x:c r="V17" s="67"/>
      <x:c r="W17" s="17"/>
      <x:c r="X17" s="14"/>
      <x:c r="Y17" s="149"/>
      <x:c r="Z17" s="126"/>
      <x:c r="AA17" s="15"/>
      <x:c r="AB17" s="14"/>
    </x:row>
    <x:row r="18" spans="2:28" ht="30" customHeight="1">
      <x:c r="B18" s="13">
        <x:f t="shared" si="1"/>
        <x:v>8</x:v>
      </x:c>
      <x:c r="C18" s="31"/>
      <x:c r="D18" s="75"/>
      <x:c r="E18" s="66"/>
      <x:c r="F18" s="15"/>
      <x:c r="G18" s="15"/>
      <x:c r="H18" s="15"/>
      <x:c r="I18" s="15"/>
      <x:c r="J18" s="15"/>
      <x:c r="K18" s="15"/>
      <x:c r="L18" s="55"/>
      <x:c r="M18" s="14"/>
      <x:c r="N18" s="15"/>
      <x:c r="O18" s="14"/>
      <x:c r="P18" s="58"/>
      <x:c r="Q18" s="15"/>
      <x:c r="R18" s="16"/>
      <x:c r="S18" s="146"/>
      <x:c r="T18" s="147"/>
      <x:c r="U18" s="67"/>
      <x:c r="V18" s="67"/>
      <x:c r="W18" s="17"/>
      <x:c r="X18" s="14"/>
      <x:c r="Y18" s="149"/>
      <x:c r="Z18" s="126"/>
      <x:c r="AA18" s="15"/>
      <x:c r="AB18" s="14"/>
    </x:row>
    <x:row r="19" spans="2:28" ht="30" customHeight="1">
      <x:c r="B19" s="13">
        <x:f t="shared" si="1"/>
        <x:v>9</x:v>
      </x:c>
      <x:c r="C19" s="31"/>
      <x:c r="D19" s="75"/>
      <x:c r="E19" s="66"/>
      <x:c r="F19" s="15"/>
      <x:c r="G19" s="15"/>
      <x:c r="H19" s="15"/>
      <x:c r="I19" s="15"/>
      <x:c r="J19" s="15"/>
      <x:c r="K19" s="15"/>
      <x:c r="L19" s="55"/>
      <x:c r="M19" s="14"/>
      <x:c r="N19" s="15"/>
      <x:c r="O19" s="14"/>
      <x:c r="P19" s="58"/>
      <x:c r="Q19" s="15"/>
      <x:c r="R19" s="16"/>
      <x:c r="S19" s="146"/>
      <x:c r="T19" s="147"/>
      <x:c r="U19" s="67"/>
      <x:c r="V19" s="67"/>
      <x:c r="W19" s="17"/>
      <x:c r="X19" s="14"/>
      <x:c r="Y19" s="149"/>
      <x:c r="Z19" s="15"/>
      <x:c r="AA19" s="145"/>
      <x:c r="AB19" s="14"/>
    </x:row>
    <x:row r="20" spans="2:28" ht="30" customHeight="1">
      <x:c r="B20" s="13">
        <x:f t="shared" si="1"/>
        <x:v>10</x:v>
      </x:c>
      <x:c r="C20" s="31"/>
      <x:c r="D20" s="75"/>
      <x:c r="E20" s="66"/>
      <x:c r="F20" s="15"/>
      <x:c r="G20" s="15"/>
      <x:c r="H20" s="15"/>
      <x:c r="I20" s="15"/>
      <x:c r="J20" s="15"/>
      <x:c r="K20" s="15"/>
      <x:c r="L20" s="55"/>
      <x:c r="M20" s="14"/>
      <x:c r="N20" s="15"/>
      <x:c r="O20" s="14"/>
      <x:c r="P20" s="58"/>
      <x:c r="Q20" s="15"/>
      <x:c r="R20" s="16"/>
      <x:c r="S20" s="146"/>
      <x:c r="T20" s="147"/>
      <x:c r="U20" s="67"/>
      <x:c r="V20" s="67"/>
      <x:c r="W20" s="17"/>
      <x:c r="X20" s="14"/>
      <x:c r="Y20" s="149"/>
      <x:c r="Z20" s="15"/>
      <x:c r="AA20" s="145"/>
      <x:c r="AB20" s="14"/>
    </x:row>
    <x:row r="21" spans="2:28" ht="30" customHeight="1">
      <x:c r="B21" s="13">
        <x:f t="shared" si="1"/>
        <x:v>11</x:v>
      </x:c>
      <x:c r="C21" s="31"/>
      <x:c r="D21" s="75"/>
      <x:c r="E21" s="66"/>
      <x:c r="F21" s="15"/>
      <x:c r="G21" s="15"/>
      <x:c r="H21" s="15"/>
      <x:c r="I21" s="15"/>
      <x:c r="J21" s="15"/>
      <x:c r="K21" s="15"/>
      <x:c r="L21" s="55"/>
      <x:c r="M21" s="14"/>
      <x:c r="N21" s="15"/>
      <x:c r="O21" s="14"/>
      <x:c r="P21" s="58"/>
      <x:c r="Q21" s="15"/>
      <x:c r="R21" s="16"/>
      <x:c r="S21" s="146"/>
      <x:c r="T21" s="147"/>
      <x:c r="U21" s="67"/>
      <x:c r="V21" s="67"/>
      <x:c r="W21" s="17"/>
      <x:c r="X21" s="14"/>
      <x:c r="Y21" s="149"/>
      <x:c r="Z21" s="15"/>
      <x:c r="AA21" s="145"/>
      <x:c r="AB21" s="14"/>
    </x:row>
    <x:row r="22" spans="2:28" ht="30" customHeight="1">
      <x:c r="B22" s="13">
        <x:f t="shared" si="1"/>
        <x:v>12</x:v>
      </x:c>
      <x:c r="C22" s="31"/>
      <x:c r="D22" s="75"/>
      <x:c r="E22" s="66"/>
      <x:c r="F22" s="15"/>
      <x:c r="G22" s="15"/>
      <x:c r="H22" s="15"/>
      <x:c r="I22" s="15"/>
      <x:c r="J22" s="15"/>
      <x:c r="K22" s="15"/>
      <x:c r="L22" s="55"/>
      <x:c r="M22" s="14"/>
      <x:c r="N22" s="15"/>
      <x:c r="O22" s="14"/>
      <x:c r="P22" s="58"/>
      <x:c r="Q22" s="15"/>
      <x:c r="R22" s="16"/>
      <x:c r="S22" s="146"/>
      <x:c r="T22" s="147"/>
      <x:c r="U22" s="67"/>
      <x:c r="V22" s="67"/>
      <x:c r="W22" s="17"/>
      <x:c r="X22" s="14"/>
      <x:c r="Y22" s="149"/>
      <x:c r="Z22" s="15"/>
      <x:c r="AA22" s="145"/>
      <x:c r="AB22" s="14"/>
    </x:row>
    <x:row r="23" spans="2:28" ht="30" customHeight="1">
      <x:c r="B23" s="13">
        <x:f t="shared" si="1"/>
        <x:v>13</x:v>
      </x:c>
      <x:c r="C23" s="31"/>
      <x:c r="D23" s="75"/>
      <x:c r="E23" s="66"/>
      <x:c r="F23" s="15"/>
      <x:c r="G23" s="15"/>
      <x:c r="H23" s="15"/>
      <x:c r="I23" s="15"/>
      <x:c r="J23" s="15"/>
      <x:c r="K23" s="15"/>
      <x:c r="L23" s="55"/>
      <x:c r="M23" s="14"/>
      <x:c r="N23" s="15"/>
      <x:c r="O23" s="14"/>
      <x:c r="P23" s="58"/>
      <x:c r="Q23" s="15"/>
      <x:c r="R23" s="16"/>
      <x:c r="S23" s="146"/>
      <x:c r="T23" s="147"/>
      <x:c r="U23" s="67"/>
      <x:c r="V23" s="67"/>
      <x:c r="W23" s="17"/>
      <x:c r="X23" s="14"/>
      <x:c r="Y23" s="149"/>
      <x:c r="Z23" s="15"/>
      <x:c r="AA23" s="145"/>
      <x:c r="AB23" s="14"/>
    </x:row>
    <x:row r="24" spans="2:28" ht="30" hidden="1" customHeight="1">
      <x:c r="B24" s="59"/>
      <x:c r="C24" s="60"/>
      <x:c r="D24" s="61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9"/>
      <x:c r="Y24" s="9"/>
      <x:c r="Z24" s="9"/>
      <x:c r="AA24" s="9"/>
      <x:c r="AB24" s="9"/>
    </x:row>
    <x:row r="25" spans="2:28" ht="30" customHeight="1">
      <x:c r="B25" s="38"/>
      <x:c r="C25" s="39"/>
      <x:c r="D25" s="39"/>
      <x:c r="E25" s="39"/>
      <x:c r="F25" s="101">
        <x:f>SUM(F12:F24)</x:f>
        <x:v>0</x:v>
      </x:c>
      <x:c r="G25" s="101">
        <x:f>SUM(G12:G24)</x:f>
        <x:v>0</x:v>
      </x:c>
      <x:c r="H25" s="101">
        <x:f>SUM(H12:H24)</x:f>
        <x:v>0</x:v>
      </x:c>
      <x:c r="I25" s="101">
        <x:f>SUM(I12:I24)</x:f>
        <x:v>0</x:v>
      </x:c>
      <x:c r="J25" s="101">
        <x:f>SUM(J12:J24)</x:f>
        <x:v>0</x:v>
      </x:c>
      <x:c r="K25" s="101">
        <x:f>SUM(K12:K24)</x:f>
        <x:v>0</x:v>
      </x:c>
      <x:c r="L25" s="63"/>
      <x:c r="M25" s="63"/>
      <x:c r="N25" s="101">
        <x:f>SUM(N12:N24)</x:f>
        <x:v>0</x:v>
      </x:c>
      <x:c r="O25" s="63"/>
      <x:c r="P25" s="63"/>
      <x:c r="Q25" s="63"/>
      <x:c r="R25" s="63"/>
      <x:c r="S25" s="63"/>
      <x:c r="T25" s="63"/>
      <x:c r="U25" s="63"/>
      <x:c r="V25" s="63"/>
      <x:c r="W25" s="64"/>
      <x:c r="X25" s="62">
        <x:f>SUM(X11:X24)</x:f>
        <x:v>32339600</x:v>
      </x:c>
      <x:c r="Y25" s="41">
        <x:f>SUM(Y10:Y24)</x:f>
        <x:v>4556510</x:v>
      </x:c>
      <x:c r="Z25" s="41">
        <x:f>SUM(Z10:Z24)</x:f>
        <x:v>36896110</x:v>
      </x:c>
      <x:c r="AA25" s="40"/>
      <x:c r="AB25" s="42"/>
    </x:row>
    <x:row r="28" spans="23:27">
      <x:c r="W28" s="127"/>
      <x:c r="X28" s="127"/>
      <x:c r="Y28" s="127"/>
      <x:c r="Z28" s="127"/>
      <x:c r="AA28" s="127"/>
    </x:row>
    <x:row r="29" spans="18:27">
      <x:c r="R29" s="124"/>
      <x:c r="S29" s="124"/>
      <x:c r="T29" s="125"/>
      <x:c r="U29" s="125"/>
      <x:c r="V29" s="125"/>
      <x:c r="W29" s="128"/>
      <x:c r="X29" s="128"/>
      <x:c r="Y29" s="129"/>
      <x:c r="Z29" s="128"/>
      <x:c r="AA29" s="127"/>
    </x:row>
    <x:row r="30" spans="18:27">
      <x:c r="R30" s="124"/>
      <x:c r="S30" s="124"/>
      <x:c r="T30" s="125"/>
      <x:c r="U30" s="125"/>
      <x:c r="V30" s="125"/>
      <x:c r="W30" s="128"/>
      <x:c r="X30" s="128"/>
      <x:c r="Y30" s="130"/>
      <x:c r="Z30" s="128"/>
      <x:c r="AA30" s="127"/>
    </x:row>
    <x:row r="31" spans="18:27">
      <x:c r="R31" s="124"/>
      <x:c r="S31" s="124"/>
      <x:c r="T31" s="125"/>
      <x:c r="U31" s="125"/>
      <x:c r="V31" s="125"/>
      <x:c r="W31" s="128"/>
      <x:c r="X31" s="128"/>
      <x:c r="Y31" s="131"/>
      <x:c r="Z31" s="128"/>
      <x:c r="AA31" s="127"/>
    </x:row>
    <x:row r="32" spans="18:27">
      <x:c r="R32" s="124"/>
      <x:c r="S32" s="124"/>
      <x:c r="T32" s="125"/>
      <x:c r="U32" s="125"/>
      <x:c r="V32" s="125"/>
      <x:c r="W32" s="128"/>
      <x:c r="X32" s="128"/>
      <x:c r="Y32" s="131"/>
      <x:c r="Z32" s="130"/>
      <x:c r="AA32" s="127"/>
    </x:row>
    <x:row r="33" spans="18:27">
      <x:c r="R33" s="124"/>
      <x:c r="S33" s="124"/>
      <x:c r="T33" s="124"/>
      <x:c r="U33" s="124"/>
      <x:c r="V33" s="124"/>
      <x:c r="W33" s="132"/>
      <x:c r="X33" s="132"/>
      <x:c r="Y33" s="133"/>
      <x:c r="Z33" s="128"/>
      <x:c r="AA33" s="127"/>
    </x:row>
    <x:row r="34" spans="23:27">
      <x:c r="W34" s="127"/>
      <x:c r="X34" s="127"/>
      <x:c r="Y34" s="134"/>
      <x:c r="Z34" s="127"/>
      <x:c r="AA34" s="127"/>
    </x:row>
    <x:row r="35" spans="23:27">
      <x:c r="W35" s="127"/>
      <x:c r="X35" s="127"/>
      <x:c r="Y35" s="127"/>
      <x:c r="Z35" s="127"/>
      <x:c r="AA35" s="127"/>
    </x:row>
    <x:row r="36" spans="23:27">
      <x:c r="W36" s="127"/>
      <x:c r="X36" s="127"/>
      <x:c r="Y36" s="127"/>
      <x:c r="Z36" s="127"/>
      <x:c r="AA36" s="127"/>
    </x:row>
    <x:row r="37" spans="23:27">
      <x:c r="W37" s="127"/>
      <x:c r="X37" s="127"/>
      <x:c r="Y37" s="127"/>
      <x:c r="Z37" s="127"/>
      <x:c r="AA37" s="127"/>
    </x:row>
    <x:row r="38" spans="23:27">
      <x:c r="W38" s="127"/>
      <x:c r="X38" s="127"/>
      <x:c r="Y38" s="134"/>
      <x:c r="Z38" s="127"/>
      <x:c r="AA38" s="127"/>
    </x:row>
    <x:row r="39" spans="23:27">
      <x:c r="W39" s="127"/>
      <x:c r="X39" s="127"/>
      <x:c r="Y39" s="127"/>
      <x:c r="Z39" s="127"/>
      <x:c r="AA39" s="127"/>
    </x:row>
  </x:sheetData>
  <x:mergeCells count="26">
    <x:mergeCell ref="B2:C2"/>
    <x:mergeCell ref="B3:AB3"/>
    <x:mergeCell ref="B4:C4"/>
    <x:mergeCell ref="F4:G4"/>
    <x:mergeCell ref="L4:M4"/>
    <x:mergeCell ref="B6:B9"/>
    <x:mergeCell ref="C6:C9"/>
    <x:mergeCell ref="D6:D9"/>
    <x:mergeCell ref="E6:E9"/>
    <x:mergeCell ref="F6:S6"/>
    <x:mergeCell ref="T6:T9"/>
    <x:mergeCell ref="U6:W7"/>
    <x:mergeCell ref="X6:Z7"/>
    <x:mergeCell ref="AA6:AA9"/>
    <x:mergeCell ref="F7:Q7"/>
    <x:mergeCell ref="R7:R9"/>
    <x:mergeCell ref="S7:S9"/>
    <x:mergeCell ref="F8:L8"/>
    <x:mergeCell ref="M8:P8"/>
    <x:mergeCell ref="Q8:Q9"/>
    <x:mergeCell ref="U8:U9"/>
    <x:mergeCell ref="V8:V9"/>
    <x:mergeCell ref="W8:W9"/>
    <x:mergeCell ref="X8:X9"/>
    <x:mergeCell ref="Y8:Y9"/>
    <x:mergeCell ref="Z8:Z9"/>
  </x:mergeCells>
  <x:pageMargins left="0.74805557727813720703" right="0.74805557727813720703" top="0.98430556058883666992" bottom="0.98430556058883666992" header="0.51138889789581298828" footer="0.51138889789581298828"/>
  <x:pageSetup paperSize="9" scale="48" firstPageNumber="1" fitToWidth="1" fitToHeight="1" orientation="landscape" usePrinterDefaults="1" blackAndWhite="0" draft="0" useFirstPageNumber="0" horizontalDpi="600" verticalDpi="600" copies="1"/>
  <x:rowBreaks count="1" manualBreakCount="1">
    <x:brk id="2" min="0" max="1048575" man="1" pt="0"/>
  </x:rowBreaks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7" baseType="lpstr">
      <vt:lpstr>1.교직원</vt:lpstr>
      <vt:lpstr>퇴직금(DC)</vt:lpstr>
      <vt:lpstr>근속수당 지급액</vt:lpstr>
      <vt:lpstr>3.통상임금</vt:lpstr>
      <vt:lpstr>4.연차수당</vt:lpstr>
      <vt:lpstr>5.초과근무수당</vt:lpstr>
      <vt:lpstr>6.퇴직금(적립,DB)</vt:lpstr>
    </vt:vector>
  </ep:TitlesOfParts>
  <ep:TotalTime>7318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cp:revision>973</cp:revision>
  <cp:lastPrinted>2024-09-11T07:23:55.413</cp:lastPrinted>
  <dcterms:created xsi:type="dcterms:W3CDTF">2017-09-05T07:27:52.000</dcterms:created>
  <dcterms:modified xsi:type="dcterms:W3CDTF">2026-07-06T00:59:14.131</dcterms:modified>
  <cp:version>1200.0100.01</cp:version>
</cp:coreProperties>
</file>