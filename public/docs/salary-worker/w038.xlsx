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안새길-연구회(교육)\03_통상임금\02_계산식\"/>
    </mc:Choice>
  </mc:AlternateContent>
  <x:bookViews>
    <x:workbookView xWindow="0" yWindow="0" windowWidth="28455" windowHeight="11295" activeTab="1"/>
  </x:bookViews>
  <x:sheets>
    <x:sheet name="사용안내 및 법적근거" sheetId="1" r:id="rId4"/>
    <x:sheet name="통상임금 계산기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<x:sst xmlns:r="http://schemas.openxmlformats.org/officeDocument/2006/relationships" xmlns:c="http://schemas.openxmlformats.org/drawingml/2006/chart" xmlns:x="http://schemas.openxmlformats.org/spreadsheetml/2006/main" count="210" uniqueCount="165">
  <x:si>
    <x:t>비고</x:t>
  </x:si>
  <x:si>
    <x:t>구분</x:t>
  </x:si>
  <x:si>
    <x:t>내용</x:t>
  </x:si>
  <x:si>
    <x:t>-</x:t>
  </x:si>
  <x:si>
    <x:t>104.29시간</x:t>
  </x:si>
  <x:si>
    <x:t>일반 교육공무직 (2유형)</x:t>
  </x:si>
  <x:si>
    <x:t>통상임금 산입여부</x:t>
  </x:si>
  <x:si>
    <x:t>월 70,000원</x:t>
  </x:si>
  <x:si>
    <x:t>기본급 (유형 2)</x:t>
  </x:si>
  <x:si>
    <x:t>시간 비례 지급</x:t>
  </x:si>
  <x:si>
    <x:t>교 육 공 무 직 원   통 상 임 금   간 편   계 산 기</x:t>
  </x:si>
  <x:si>
    <x:t>조리사 107,220원 / 영양사 117,220원 기준 시간비례</x:t>
  </x:si>
  <x:si>
    <x:t>3. 경기도교육청 조리직종 주요 대표 사례 통상임금표 (참고용)</x:t>
  </x:si>
  <x:si>
    <x:t>기본급, 정액급식비,
직무관련수당
(위험수당, 면허수당 등)</x:t>
  </x:si>
  <x:si>
    <x:t>단시간 근로자도 전액 지급 (유형2 기본급 100% 월할)</x:t>
  </x:si>
  <x:si>
    <x:t>2024.12.19.부터 통상임금 산입 (유형2 100%)</x:t>
  </x:si>
  <x:si>
    <x:t>본인 근속연수 (년)</x:t>
  </x:si>
  <x:si>
    <x:t>직종 세부 선택</x:t>
  </x:si>
  <x:si>
    <x:t>기본급 (비례)</x:t>
  </x:si>
  <x:si>
    <x:t>근속수당, 정기상여금, 명절휴가비 제외 (기본급+위험+면허+식비)</x:t>
  </x:si>
  <x:si>
    <x:t>기본급 + 위험 + 면허 + 급식 + 근속 + 상여/12 + 명절비/12</x:t>
  </x:si>
  <x:si>
    <x:t>1유형: 2,344,500원 / 2유형: 2,144,500원 기준 시간비례</x:t>
  </x:si>
  <x:si>
    <x:t>근속수당, 상여금, 명절비는 방학 중에도 전액 또는 월할 지급이 보장되므로, 교육비 산정 시 중복 지급을 방지하기 위해 일시적으로 제외하고 계산하는 교육용 특례 통상임금입니다.</x:t>
  </x:si>
  <x:si>
    <x:t>상시근무자</x:t>
  </x:si>
  <x:si>
    <x:t>해당없음</x:t>
  </x:si>
  <x:si>
    <x:t>방학 중 연수 및 법정의무교육 이수 시 적용 시급 (1.0배 지급, 가산 없음)</x:t>
  </x:si>
  <x:si>
    <x:t>통상근로일 연장·야간·휴일근로수당 계산 시의 기준 시급 (소수점 첫째자리 반올림)</x:t>
  </x:si>
  <x:si>
    <x:t>15시간 이상 40시간 이하 입력 (기본 40시간)</x:t>
  </x:si>
  <x:si>
    <x:t>근속 1년당 41,000원 (상한 24년) 시간비례</x:t>
  </x:si>
  <x:si>
    <x:t>만 1년 이상 근무 시 발생 (최대 984,000원)</x:t>
  </x:si>
  <x:si>
    <x:t>2. 방학 중 비근무자 방학 중 교육/연수 시 임금 특례</x:t>
  </x:si>
  <x:si>
    <x:t>3. 주 소정근로시간별 월 통상임금 산정시간 기준표</x:t>
  </x:si>
  <x:si>
    <x:t>방학 중 비근무자가 방학 기간 중 산업안전보건교육 등 법정의무교육 또는 학교장의 지시에 의한 직무교육을 이수하는 경우</x:t>
  </x:si>
  <x:si>
    <x:t>조리사(2유형) / 조리실무사(2유형) / 영양사(1유형) / 일반(1유형) / 일반(2유형)</x:t>
  </x:si>
  <x:si>
    <x:t>기본급</x:t>
  </x:si>
  <x:si>
    <x:t>6시간</x:t>
  </x:si>
  <x:si>
    <x:t>7시간</x:t>
  </x:si>
  <x:si>
    <x:t>5시간</x:t>
  </x:si>
  <x:si>
    <x:t>8시간</x:t>
  </x:si>
  <x:si>
    <x:t>항목명</x:t>
  </x:si>
  <x:si>
    <x:t>3시간</x:t>
  </x:si>
  <x:si>
    <x:t>예</x:t>
  </x:si>
  <x:si>
    <x:t>4시간</x:t>
  </x:si>
  <x:si>
    <x:t>주당 유급 시간 합계</x:t>
  </x:si>
  <x:si>
    <x:t>208.57시간</x:t>
  </x:si>
  <x:si>
    <x:t>182.50시간</x:t>
  </x:si>
  <x:si>
    <x:t>156.42시간</x:t>
  </x:si>
  <x:si>
    <x:t>130.36시간</x:t>
  </x:si>
  <x:si>
    <x:t>주 소정근로시간</x:t>
  </x:si>
  <x:si>
    <x:t>정기상여금 (월할)</x:t>
  </x:si>
  <x:si>
    <x:t>명절휴가비 (월할)</x:t>
  </x:si>
  <x:si>
    <x:t>임금 지급 방식</x:t>
  </x:si>
  <x:si>
    <x:t>산입 대상 범위</x:t>
  </x:si>
  <x:si>
    <x:t>월 160,000원</x:t>
  </x:si>
  <x:si>
    <x:t>월 107,220원</x:t>
  </x:si>
  <x:si>
    <x:t>파란색 셀(입력값)을 변경하면 우측 연두색 결과 및 상세 내역이 자동으로 계산됩니다.</x:t>
  </x:si>
  <x:si>
    <x:t>경기도교육청 교육공무직원 통상임금 실무 가이드 &amp; 계산기 (2026년 단가 반영)</x:t>
  </x:si>
  <x:si>
    <x:t>실제 교육이수시간
× 특례 통상시급 × 1.0배
(연장근로 가산 50% 미적용)</x:t>
  </x:si>
  <x:si>
    <x:t>₩3,184,841</x:t>
  </x:si>
  <x:si>
    <x:t>₩2,636,541</x:t>
  </x:si>
  <x:si>
    <x:t>₩2,825,761</x:t>
  </x:si>
  <x:si>
    <x:t>₩2,718,541</x:t>
  </x:si>
  <x:si>
    <x:t>₩2,118,906</x:t>
  </x:si>
  <x:si>
    <x:t>미산입 (X)</x:t>
  </x:si>
  <x:si>
    <x:t>지침 구분</x:t>
  </x:si>
  <x:si>
    <x:t>실무 필수 팁</x:t>
  </x:si>
  <x:si>
    <x:t>주휴시간</x:t>
  </x:si>
  <x:si>
    <x:t>주 40시간</x:t>
  </x:si>
  <x:si>
    <x:t>기타수당</x:t>
  </x:si>
  <x:si>
    <x:t>처우개선</x:t>
  </x:si>
  <x:si>
    <x:t>공식 계산값</x:t>
  </x:si>
  <x:si>
    <x:t>48시간</x:t>
  </x:si>
  <x:si>
    <x:t>위험근무수당</x:t>
  </x:si>
  <x:si>
    <x:t>산입 (○)</x:t>
  </x:si>
  <x:si>
    <x:t>면허가산수당</x:t>
  </x:si>
  <x:si>
    <x:t>가족수당</x:t>
  </x:si>
  <x:si>
    <x:t>직무수당</x:t>
  </x:si>
  <x:si>
    <x:t>맞춤형복지비</x:t>
  </x:si>
  <x:si>
    <x:t>정액급식비</x:t>
  </x:si>
  <x:si>
    <x:t>주 25시간</x:t>
  </x:si>
  <x:si>
    <x:t>주 20시간</x:t>
  </x:si>
  <x:si>
    <x:t>주 30시간</x:t>
  </x:si>
  <x:si>
    <x:t>130시간</x:t>
  </x:si>
  <x:si>
    <x:t>4.345주</x:t>
  </x:si>
  <x:si>
    <x:t>주 35시간</x:t>
  </x:si>
  <x:si>
    <x:t>182시간</x:t>
  </x:si>
  <x:si>
    <x:t>36시간</x:t>
  </x:si>
  <x:si>
    <x:t>42시간</x:t>
  </x:si>
  <x:si>
    <x:t>209시간</x:t>
  </x:si>
  <x:si>
    <x:t>156시간</x:t>
  </x:si>
  <x:si>
    <x:t>30시간</x:t>
  </x:si>
  <x:si>
    <x:t>24시간</x:t>
  </x:si>
  <x:si>
    <x:t>104시간</x:t>
  </x:si>
  <x:si>
    <x:t>₩13,583</x:t>
  </x:si>
  <x:si>
    <x:t>78시간</x:t>
  </x:si>
  <x:si>
    <x:t>소정시간</x:t>
  </x:si>
  <x:si>
    <x:t>₩13,520</x:t>
  </x:si>
  <x:si>
    <x:t>만 2년</x:t>
  </x:si>
  <x:si>
    <x:t>₩13,007</x:t>
  </x:si>
  <x:si>
    <x:t>월 산정시간</x:t>
  </x:si>
  <x:si>
    <x:t>근무 형태</x:t>
  </x:si>
  <x:si>
    <x:t>근속년수</x:t>
  </x:si>
  <x:si>
    <x:t>18시간</x:t>
  </x:si>
  <x:si>
    <x:t>78.21시간</x:t>
  </x:si>
  <x:si>
    <x:t>주 15시간</x:t>
  </x:si>
  <x:si>
    <x:t>₩12,615</x:t>
  </x:si>
  <x:si>
    <x:t>만 1년</x:t>
  </x:si>
  <x:si>
    <x:t>만 5년</x:t>
  </x:si>
  <x:si>
    <x:t>₩15,238</x:t>
  </x:si>
  <x:si>
    <x:t>근속수당</x:t>
  </x:si>
  <x:si>
    <x:t>명절휴가비 월할</x:t>
  </x:si>
  <x:si>
    <x:t>근속수당 (비례)</x:t>
  </x:si>
  <x:si>
    <x:t>정기상여금 월할</x:t>
  </x:si>
  <x:si>
    <x:t>직종 (근무형태)</x:t>
  </x:si>
  <x:si>
    <x:t>정기상여금 대상여부</x:t>
  </x:si>
  <x:si>
    <x:t>명절휴가비 대상여부</x:t>
  </x:si>
  <x:si>
    <x:t>방학 중 교육
(법정의무/직무)</x:t>
  </x:si>
  <x:si>
    <x:t>배우자 4만, 첫째자녀 5만 등</x:t>
  </x:si>
  <x:si>
    <x:t>1. 통상임금의 정의 및 산입 범위</x:t>
  </x:si>
  <x:si>
    <x:t>단시간 근로자 비례 적용 여부</x:t>
  </x:si>
  <x:si>
    <x:t>연 기본 1,050점 (105만원)</x:t>
  </x:si>
  <x:si>
    <x:t>복지 포인트 성격으로 임금성 배제</x:t>
  </x:si>
  <x:si>
    <x:t>방학 비근무자만 해당하므로 해당없음</x:t>
  </x:si>
  <x:si>
    <x:t>방학 중 교육용 특례 통상시급</x:t>
  </x:si>
  <x:si>
    <x:t>월 평균 주수 (365/7/12)</x:t>
  </x:si>
  <x:si>
    <x:t>월 통상임금 수당 총액 (일반)</x:t>
  </x:si>
  <x:si>
    <x:t>주휴시간 포함 월 평균 산정 시간</x:t>
  </x:si>
  <x:si>
    <x:t>근속수당,
정기상여금,
명절휴가비</x:t>
  </x:si>
  <x:si>
    <x:t>₩11,361 (기본+위험+식비)</x:t>
  </x:si>
  <x:si>
    <x:t>월 지급 기준액 공식 및 결과</x:t>
  </x:si>
  <x:si>
    <x:t>월 2,144,500원</x:t>
  </x:si>
  <x:si>
    <x:t>상시근무자 / 방학중비근무자</x:t>
  </x:si>
  <x:si>
    <x:t>전액 지급 (비례 제외)</x:t>
  </x:si>
  <x:si>
    <x:t>고정 적용 월 산정시간</x:t>
  </x:si>
  <x:si>
    <x:t>월 통상임금 산정 시간</x:t>
  </x:si>
  <x:si>
    <x:t>영양사 (유형 1 상시)</x:t>
  </x:si>
  <x:si>
    <x:t>조리사 (방학중비근무자)</x:t>
  </x:si>
  <x:si>
    <x:t>조리실무사 (단시간근로자)</x:t>
  </x:si>
  <x:si>
    <x:t>조리실무사 (방학중비근무자)</x:t>
  </x:si>
  <x:si>
    <x:t>일반 상시근무자 (유형 2)</x:t>
  </x:si>
  <x:si>
    <x:t>월 통상임금 산정 요액</x:t>
  </x:si>
  <x:si>
    <x:t>시간급 통상임금 (일반)</x:t>
  </x:si>
  <x:si>
    <x:t>방학 교육용 특례 월액 합계</x:t>
  </x:si>
  <x:si>
    <x:t>2026년 지급 기준 (유형 2 기준)</x:t>
  </x:si>
  <x:si>
    <x:t>연 1,000,000원 월할분 시간비례</x:t>
  </x:si>
  <x:si>
    <x:t>★ 최종 시간급 통상임금 (일반) ★</x:t>
  </x:si>
  <x:si>
    <x:t>주 15시간 이상 근무 시 전액 지급</x:t>
  </x:si>
  <x:si>
    <x:t>조리사, 조리실무사, 영양사 등 적용</x:t>
  </x:si>
  <x:si>
    <x:t>2. 통상임금 계산 결과 (Output)</x:t>
  </x:si>
  <x:si>
    <x:t>1년당 월 41,000원 (상한 24년)</x:t>
  </x:si>
  <x:si>
    <x:t>제외 대상 범위 (방학 중 전액보장 항목)</x:t>
  </x:si>
  <x:si>
    <x:t>₩11,874 (기본+위험+면허+식비)</x:t>
  </x:si>
  <x:si>
    <x:t>대체직 등 지급대상 외 근로자는 미산입</x:t>
  </x:si>
  <x:si>
    <x:t>급식종사자 월 70,000원 기준 시간비례</x:t>
  </x:si>
  <x:si>
    <x:t>유형 1(영양사 등)은 월 2,344,500원</x:t>
  </x:si>
  <x:si>
    <x:t>실제 가족 유무에 따라 지급되므로 일률성 결여</x:t>
  </x:si>
  <x:si>
    <x:t>조리사 해당 (영양사는 월 117,220원)</x:t>
  </x:si>
  <x:si>
    <x:t>연 1,000,000원 (월 83,333원)</x:t>
  </x:si>
  <x:si>
    <x:t>연 2,144,500원 (월 178,708원)</x:t>
  </x:si>
  <x:si>
    <x:t>1. 근로계약 기본 조건 입력 (Input)</x:t>
  </x:si>
  <x:si>
    <x:t>단시간근로자도 전액 지급 (월 160,000원)</x:t>
  </x:si>
  <x:si>
    <x:t>예 / 아니오 (대체직 등은 '아니오' 선택)</x:t>
  </x:si>
  <x:si>
    <x:t>0 ~ 24년차까지 숫자 입력 (근속수당 계산용)</x:t>
  </x:si>
  <x:si>
    <x:t>★ 최종 시간급 통상임금 (방학 교육용 특례) ★</x:t>
  </x:si>
  <x:si>
    <x:t>₩1,670,875 (기본+위험+식비 비례)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</x:si>
</x:sst>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&quot;₩&quot;#,##0"/>
  </x:numFmts>
  <x:fonts count="15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6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6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595959"/>
          <x:i val="1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595959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2"/>
          <x:color rgb="ff1f4e78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2"/>
          <x:color rgb="ff1f4e78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a51d24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a51d24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2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Calibri"/>
          <x:sz val="12"/>
          <x:color rgb="ffffffff"/>
          <x:b val="1"/>
        </x:font>
      </mc:Fallback>
    </mc:AlternateContent>
  </x:fonts>
  <x:fills count="8">
    <x:fill>
      <x:patternFill patternType="none"/>
    </x:fill>
    <x:fill>
      <x:patternFill patternType="gray125"/>
    </x:fill>
    <x:fill>
      <x:patternFill patternType="solid">
        <x:fgColor rgb="ff2f5597"/>
        <x:bgColor rgb="ff2f5597"/>
      </x:patternFill>
    </x:fill>
    <x:fill>
      <x:patternFill patternType="solid">
        <x:fgColor rgb="fff2f2f2"/>
        <x:bgColor rgb="fff2f2f2"/>
      </x:patternFill>
    </x:fill>
    <x:fill>
      <x:patternFill patternType="solid">
        <x:fgColor rgb="ffddebf7"/>
        <x:bgColor rgb="ffddebf7"/>
      </x:patternFill>
    </x:fill>
    <x:fill>
      <x:patternFill patternType="solid">
        <x:fgColor rgb="ffe2efda"/>
        <x:bgColor rgb="ffe2efda"/>
      </x:patternFill>
    </x:fill>
    <x:fill>
      <x:patternFill patternType="solid">
        <x:fgColor rgb="fffff2cc"/>
        <x:bgColor rgb="fffff2cc"/>
      </x:patternFill>
    </x:fill>
    <x:fill>
      <x:patternFill patternType="solid">
        <x:fgColor rgb="ff1f4e78"/>
        <x:bgColor rgb="ff1f4e78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>
      <x:alignment horizontal="general" vertical="center"/>
    </x:xf>
  </x:cellStyleXfs>
  <x:cellXfs count="28">
    <x:xf numFmtId="0" fontId="0" fillId="0" borderId="0" xfId="0">
      <x:alignment horizontal="general" vertical="bottom"/>
    </x:xf>
    <x:xf numFmtId="0" fontId="6" fillId="0" borderId="0" xfId="0">
      <x:alignment horizontal="general" vertical="bottom"/>
    </x:xf>
    <x:xf numFmtId="0" fontId="7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center" wrapText="1"/>
        </x:xf>
      </mc:Fallback>
    </mc:AlternateContent>
    <x:xf numFmtId="0" fontId="9" fillId="0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bottom"/>
        </x:xf>
      </mc:Fallback>
    </mc:AlternateContent>
    <x:xf numFmtId="0" fontId="9" fillId="3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bottom"/>
        </x:xf>
      </mc:Fallback>
    </mc:AlternateContent>
    <x:xf numFmtId="0" fontId="9" fillId="0" borderId="1" xfId="0" applyBorder="1" applyAlignment="1">
      <x:alignment horizontal="general" vertical="top" wrapText="1"/>
    </x:xf>
    <mc:AlternateContent xmlns:mc="http://schemas.openxmlformats.org/markup-compatibility/2006">
      <mc:Choice xmlns:hs="http://schemas.haansoft.com/office/spreadsheet/8.0" Requires="hs">
        <x:xf numFmtId="0" fontId="9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Border="1" applyAlignment="1">
          <x:alignment horizontal="center" vertical="center"/>
        </x:xf>
      </mc:Fallback>
    </mc:AlternateContent>
    <x:xf numFmtId="0" fontId="10" fillId="0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0" fillId="4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Border="1" applyAlignment="1">
          <x:alignment horizontal="center" vertical="center"/>
        </x:xf>
      </mc:Fallback>
    </mc:AlternateContent>
    <x:xf numFmtId="0" fontId="7" fillId="0" borderId="1" xfId="0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/>
        </x:xf>
      </mc:Fallback>
    </mc:AlternateContent>
    <x:xf numFmtId="0" fontId="10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0" fillId="0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0" fillId="0" borderId="1" xfId="0" applyBorder="1" applyAlignment="1">
          <x:alignment horizontal="right" vertical="bottom"/>
        </x:xf>
      </mc:Fallback>
    </mc:AlternateContent>
    <x:xf numFmtId="0" fontId="9" fillId="0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3" fontId="10" fillId="0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0" fillId="0" borderId="1" xfId="0" applyBorder="1" applyAlignment="1">
          <x:alignment horizontal="center" vertical="bottom"/>
        </x:xf>
      </mc:Fallback>
    </mc:AlternateContent>
    <x:xf numFmtId="0" fontId="7" fillId="0" borderId="1" xfId="0" applyBorder="1">
      <x:alignment horizontal="general" vertical="bottom"/>
    </x:xf>
    <x:xf numFmtId="0" fontId="11" fillId="5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2" fillId="5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2" fillId="5" borderId="1" xfId="0" applyBorder="1" applyAlignment="1">
          <x:alignment horizontal="right" vertical="bottom"/>
        </x:xf>
      </mc:Fallback>
    </mc:AlternateContent>
    <x:xf numFmtId="0" fontId="10" fillId="5" borderId="1" xfId="0" applyBorder="1">
      <x:alignment horizontal="general" vertical="bottom"/>
    </x:xf>
    <x:xf numFmtId="0" fontId="13" fillId="6" borderId="1" xfId="0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164" fontId="13" fillId="6" borderId="1" xfId="0" applyBorder="1" applyAlignment="1" hs:applyExtension="1">
          <x:alignment horizontal="right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3" fillId="6" borderId="1" xfId="0" applyBorder="1" applyAlignment="1">
          <x:alignment horizontal="right" vertical="bottom"/>
        </x:xf>
      </mc:Fallback>
    </mc:AlternateContent>
    <x:xf numFmtId="0" fontId="10" fillId="6" borderId="1" xfId="0" applyBorder="1">
      <x:alignment horizontal="general" vertical="bottom"/>
    </x:xf>
    <x:xf numFmtId="0" fontId="14" fillId="7" borderId="0" xfId="0" applyAlignment="1">
      <x:alignment horizontal="general" vertical="center"/>
    </x:xf>
    <x:xf numFmtId="0" fontId="14" fillId="2" borderId="0" xfId="0" applyAlignment="1">
      <x:alignment horizontal="general" vertical="center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27"/>
  <x:sheetViews>
    <x:sheetView showGridLines="0" topLeftCell="A1" zoomScaleNormal="75" zoomScaleSheetLayoutView="100" workbookViewId="0">
      <x:selection activeCell="C12" activeCellId="0" sqref="C12:C12"/>
    </x:sheetView>
  </x:sheetViews>
  <x:sheetFormatPr defaultColWidth="9.00390625" defaultRowHeight="16.39999999999999857891"/>
  <x:cols>
    <x:col min="1" max="1" width="57" customWidth="1"/>
    <x:col min="2" max="2" width="25" customWidth="1"/>
    <x:col min="3" max="3" width="30" customWidth="1"/>
    <x:col min="4" max="4" width="18" customWidth="1"/>
    <x:col min="5" max="5" width="25" customWidth="1"/>
    <x:col min="6" max="6" width="50" customWidth="1"/>
  </x:cols>
  <x:sheetData>
    <x:row r="1" spans="1:1" ht="30" customHeight="1">
      <x:c r="A1" s="1" t="s">
        <x:v>56</x:v>
      </x:c>
    </x:row>
    <x:row r="2" spans="1:1">
      <x:c r="A2" s="2"/>
    </x:row>
    <x:row r="4" spans="1:6" ht="25" customHeight="1">
      <x:c r="A4" s="26" t="s">
        <x:v>118</x:v>
      </x:c>
      <x:c r="B4" s="26"/>
      <x:c r="C4" s="26"/>
      <x:c r="D4" s="26"/>
      <x:c r="E4" s="26"/>
      <x:c r="F4" s="26"/>
    </x:row>
    <x:row r="5" spans="1:6" ht="25" customHeight="1">
      <x:c r="A5" s="3" t="s">
        <x:v>1</x:v>
      </x:c>
      <x:c r="B5" s="3" t="s">
        <x:v>39</x:v>
      </x:c>
      <x:c r="C5" s="3" t="s">
        <x:v>143</x:v>
      </x:c>
      <x:c r="D5" s="3" t="s">
        <x:v>6</x:v>
      </x:c>
      <x:c r="E5" s="3" t="s">
        <x:v>119</x:v>
      </x:c>
      <x:c r="F5" s="3" t="s">
        <x:v>0</x:v>
      </x:c>
    </x:row>
    <x:row r="6" spans="1:6" ht="20" customHeight="1">
      <x:c r="A6" s="4" t="s">
        <x:v>34</x:v>
      </x:c>
      <x:c r="B6" s="4" t="s">
        <x:v>8</x:v>
      </x:c>
      <x:c r="C6" s="4" t="s">
        <x:v>130</x:v>
      </x:c>
      <x:c r="D6" s="5" t="s">
        <x:v>73</x:v>
      </x:c>
      <x:c r="E6" s="5" t="s">
        <x:v>9</x:v>
      </x:c>
      <x:c r="F6" s="4" t="s">
        <x:v>154</x:v>
      </x:c>
    </x:row>
    <x:row r="7" spans="1:6" ht="20" customHeight="1">
      <x:c r="A7" s="6" t="s">
        <x:v>76</x:v>
      </x:c>
      <x:c r="B7" s="6" t="s">
        <x:v>72</x:v>
      </x:c>
      <x:c r="C7" s="6" t="s">
        <x:v>7</x:v>
      </x:c>
      <x:c r="D7" s="7" t="s">
        <x:v>73</x:v>
      </x:c>
      <x:c r="E7" s="7" t="s">
        <x:v>9</x:v>
      </x:c>
      <x:c r="F7" s="6" t="s">
        <x:v>147</x:v>
      </x:c>
    </x:row>
    <x:row r="8" spans="1:6" ht="20" customHeight="1">
      <x:c r="A8" s="4" t="s">
        <x:v>76</x:v>
      </x:c>
      <x:c r="B8" s="4" t="s">
        <x:v>74</x:v>
      </x:c>
      <x:c r="C8" s="4" t="s">
        <x:v>54</x:v>
      </x:c>
      <x:c r="D8" s="5" t="s">
        <x:v>73</x:v>
      </x:c>
      <x:c r="E8" s="5" t="s">
        <x:v>9</x:v>
      </x:c>
      <x:c r="F8" s="4" t="s">
        <x:v>156</x:v>
      </x:c>
    </x:row>
    <x:row r="9" spans="1:6" ht="20" customHeight="1">
      <x:c r="A9" s="6" t="s">
        <x:v>69</x:v>
      </x:c>
      <x:c r="B9" s="6" t="s">
        <x:v>78</x:v>
      </x:c>
      <x:c r="C9" s="6" t="s">
        <x:v>53</x:v>
      </x:c>
      <x:c r="D9" s="7" t="s">
        <x:v>73</x:v>
      </x:c>
      <x:c r="E9" s="7" t="s">
        <x:v>132</x:v>
      </x:c>
      <x:c r="F9" s="6" t="s">
        <x:v>146</x:v>
      </x:c>
    </x:row>
    <x:row r="10" spans="1:6" ht="20" customHeight="1">
      <x:c r="A10" s="4" t="s">
        <x:v>69</x:v>
      </x:c>
      <x:c r="B10" s="4" t="s">
        <x:v>109</x:v>
      </x:c>
      <x:c r="C10" s="4" t="s">
        <x:v>149</x:v>
      </x:c>
      <x:c r="D10" s="5" t="s">
        <x:v>73</x:v>
      </x:c>
      <x:c r="E10" s="5" t="s">
        <x:v>9</x:v>
      </x:c>
      <x:c r="F10" s="4" t="s">
        <x:v>29</x:v>
      </x:c>
    </x:row>
    <x:row r="11" spans="1:6" ht="20" customHeight="1">
      <x:c r="A11" s="6" t="s">
        <x:v>69</x:v>
      </x:c>
      <x:c r="B11" s="6" t="s">
        <x:v>49</x:v>
      </x:c>
      <x:c r="C11" s="6" t="s">
        <x:v>157</x:v>
      </x:c>
      <x:c r="D11" s="7" t="s">
        <x:v>73</x:v>
      </x:c>
      <x:c r="E11" s="7" t="s">
        <x:v>9</x:v>
      </x:c>
      <x:c r="F11" s="6" t="s">
        <x:v>152</x:v>
      </x:c>
    </x:row>
    <x:row r="12" spans="1:6" ht="20" customHeight="1">
      <x:c r="A12" s="4" t="s">
        <x:v>69</x:v>
      </x:c>
      <x:c r="B12" s="4" t="s">
        <x:v>50</x:v>
      </x:c>
      <x:c r="C12" s="4" t="s">
        <x:v>158</x:v>
      </x:c>
      <x:c r="D12" s="5" t="s">
        <x:v>73</x:v>
      </x:c>
      <x:c r="E12" s="5" t="s">
        <x:v>132</x:v>
      </x:c>
      <x:c r="F12" s="4" t="s">
        <x:v>15</x:v>
      </x:c>
    </x:row>
    <x:row r="13" spans="1:6" ht="20" customHeight="1">
      <x:c r="A13" s="6" t="s">
        <x:v>68</x:v>
      </x:c>
      <x:c r="B13" s="6" t="s">
        <x:v>75</x:v>
      </x:c>
      <x:c r="C13" s="6" t="s">
        <x:v>117</x:v>
      </x:c>
      <x:c r="D13" s="7" t="s">
        <x:v>63</x:v>
      </x:c>
      <x:c r="E13" s="7" t="s">
        <x:v>3</x:v>
      </x:c>
      <x:c r="F13" s="6" t="s">
        <x:v>155</x:v>
      </x:c>
    </x:row>
    <x:row r="14" spans="1:6" ht="20" customHeight="1">
      <x:c r="A14" s="4" t="s">
        <x:v>68</x:v>
      </x:c>
      <x:c r="B14" s="4" t="s">
        <x:v>77</x:v>
      </x:c>
      <x:c r="C14" s="4" t="s">
        <x:v>120</x:v>
      </x:c>
      <x:c r="D14" s="5" t="s">
        <x:v>63</x:v>
      </x:c>
      <x:c r="E14" s="5" t="s">
        <x:v>3</x:v>
      </x:c>
      <x:c r="F14" s="4" t="s">
        <x:v>121</x:v>
      </x:c>
    </x:row>
    <x:row r="16" spans="1:6" ht="25" customHeight="1">
      <x:c r="A16" s="26" t="s">
        <x:v>30</x:v>
      </x:c>
      <x:c r="B16" s="26"/>
      <x:c r="C16" s="26"/>
      <x:c r="D16" s="26"/>
      <x:c r="E16" s="26"/>
      <x:c r="F16" s="26"/>
    </x:row>
    <x:row r="17" spans="1:6" ht="25" customHeight="1">
      <x:c r="A17" s="3" t="s">
        <x:v>64</x:v>
      </x:c>
      <x:c r="B17" s="3" t="s">
        <x:v>2</x:v>
      </x:c>
      <x:c r="C17" s="3" t="s">
        <x:v>51</x:v>
      </x:c>
      <x:c r="D17" s="3" t="s">
        <x:v>52</x:v>
      </x:c>
      <x:c r="E17" s="3" t="s">
        <x:v>150</x:v>
      </x:c>
      <x:c r="F17" s="3" t="s">
        <x:v>65</x:v>
      </x:c>
    </x:row>
    <x:row r="18" spans="1:6" ht="100" customHeight="1">
      <x:c r="A18" s="8" t="s">
        <x:v>116</x:v>
      </x:c>
      <x:c r="B18" s="8" t="s">
        <x:v>32</x:v>
      </x:c>
      <x:c r="C18" s="8" t="s">
        <x:v>57</x:v>
      </x:c>
      <x:c r="D18" s="8" t="s">
        <x:v>13</x:v>
      </x:c>
      <x:c r="E18" s="8" t="s">
        <x:v>127</x:v>
      </x:c>
      <x:c r="F18" s="8" t="s">
        <x:v>22</x:v>
      </x:c>
    </x:row>
    <x:row r="20" spans="1:6" ht="25" customHeight="1">
      <x:c r="A20" s="26" t="s">
        <x:v>31</x:v>
      </x:c>
      <x:c r="B20" s="26"/>
      <x:c r="C20" s="26"/>
      <x:c r="D20" s="26"/>
      <x:c r="E20" s="26"/>
      <x:c r="F20" s="26"/>
    </x:row>
    <x:row r="21" spans="1:6" ht="25" customHeight="1">
      <x:c r="A21" s="3" t="s">
        <x:v>48</x:v>
      </x:c>
      <x:c r="B21" s="3" t="s">
        <x:v>66</x:v>
      </x:c>
      <x:c r="C21" s="3" t="s">
        <x:v>43</x:v>
      </x:c>
      <x:c r="D21" s="3" t="s">
        <x:v>124</x:v>
      </x:c>
      <x:c r="E21" s="3" t="s">
        <x:v>70</x:v>
      </x:c>
      <x:c r="F21" s="3" t="s">
        <x:v>133</x:v>
      </x:c>
    </x:row>
    <x:row r="22" spans="1:6" ht="20" customHeight="1">
      <x:c r="A22" s="9" t="s">
        <x:v>67</x:v>
      </x:c>
      <x:c r="B22" s="9" t="s">
        <x:v>38</x:v>
      </x:c>
      <x:c r="C22" s="9" t="s">
        <x:v>71</x:v>
      </x:c>
      <x:c r="D22" s="9" t="s">
        <x:v>83</x:v>
      </x:c>
      <x:c r="E22" s="9" t="s">
        <x:v>44</x:v>
      </x:c>
      <x:c r="F22" s="9" t="s">
        <x:v>88</x:v>
      </x:c>
    </x:row>
    <x:row r="23" spans="1:6" ht="20" customHeight="1">
      <x:c r="A23" s="10" t="s">
        <x:v>84</x:v>
      </x:c>
      <x:c r="B23" s="10" t="s">
        <x:v>36</x:v>
      </x:c>
      <x:c r="C23" s="10" t="s">
        <x:v>87</x:v>
      </x:c>
      <x:c r="D23" s="10" t="s">
        <x:v>83</x:v>
      </x:c>
      <x:c r="E23" s="10" t="s">
        <x:v>45</x:v>
      </x:c>
      <x:c r="F23" s="10" t="s">
        <x:v>85</x:v>
      </x:c>
    </x:row>
    <x:row r="24" spans="1:6" ht="20" customHeight="1">
      <x:c r="A24" s="9" t="s">
        <x:v>81</x:v>
      </x:c>
      <x:c r="B24" s="9" t="s">
        <x:v>35</x:v>
      </x:c>
      <x:c r="C24" s="9" t="s">
        <x:v>86</x:v>
      </x:c>
      <x:c r="D24" s="9" t="s">
        <x:v>83</x:v>
      </x:c>
      <x:c r="E24" s="9" t="s">
        <x:v>46</x:v>
      </x:c>
      <x:c r="F24" s="9" t="s">
        <x:v>89</x:v>
      </x:c>
    </x:row>
    <x:row r="25" spans="1:6" ht="20" customHeight="1">
      <x:c r="A25" s="10" t="s">
        <x:v>79</x:v>
      </x:c>
      <x:c r="B25" s="10" t="s">
        <x:v>37</x:v>
      </x:c>
      <x:c r="C25" s="10" t="s">
        <x:v>90</x:v>
      </x:c>
      <x:c r="D25" s="10" t="s">
        <x:v>83</x:v>
      </x:c>
      <x:c r="E25" s="10" t="s">
        <x:v>47</x:v>
      </x:c>
      <x:c r="F25" s="10" t="s">
        <x:v>82</x:v>
      </x:c>
    </x:row>
    <x:row r="26" spans="1:6" ht="20" customHeight="1">
      <x:c r="A26" s="9" t="s">
        <x:v>80</x:v>
      </x:c>
      <x:c r="B26" s="9" t="s">
        <x:v>42</x:v>
      </x:c>
      <x:c r="C26" s="9" t="s">
        <x:v>91</x:v>
      </x:c>
      <x:c r="D26" s="9" t="s">
        <x:v>83</x:v>
      </x:c>
      <x:c r="E26" s="9" t="s">
        <x:v>4</x:v>
      </x:c>
      <x:c r="F26" s="9" t="s">
        <x:v>92</x:v>
      </x:c>
    </x:row>
    <x:row r="27" spans="1:6" ht="20" customHeight="1">
      <x:c r="A27" s="10" t="s">
        <x:v>104</x:v>
      </x:c>
      <x:c r="B27" s="10" t="s">
        <x:v>40</x:v>
      </x:c>
      <x:c r="C27" s="10" t="s">
        <x:v>102</x:v>
      </x:c>
      <x:c r="D27" s="10" t="s">
        <x:v>83</x:v>
      </x:c>
      <x:c r="E27" s="10" t="s">
        <x:v>103</x:v>
      </x:c>
      <x:c r="F27" s="10" t="s">
        <x:v>94</x:v>
      </x:c>
    </x:row>
  </x:sheetData>
  <x:mergeCells count="3">
    <x:mergeCell ref="A4:F4"/>
    <x:mergeCell ref="A16:F16"/>
    <x:mergeCell ref="A20:F20"/>
  </x:mergeCell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G26"/>
  <x:sheetViews>
    <x:sheetView showGridLines="0" tabSelected="1" topLeftCell="A1" zoomScaleNormal="75" zoomScaleSheetLayoutView="100" workbookViewId="0">
      <x:selection activeCell="C27" activeCellId="0" sqref="C27:C27"/>
    </x:sheetView>
  </x:sheetViews>
  <x:sheetFormatPr defaultColWidth="9.00390625" defaultRowHeight="16.39999999999999857891"/>
  <x:cols>
    <x:col min="1" max="2" width="25" customWidth="1"/>
    <x:col min="3" max="3" width="30" customWidth="1"/>
    <x:col min="4" max="4" width="5" customWidth="1"/>
    <x:col min="5" max="5" width="28" customWidth="1"/>
    <x:col min="6" max="6" width="25" customWidth="1"/>
    <x:col min="7" max="7" width="50" customWidth="1"/>
  </x:cols>
  <x:sheetData>
    <x:row r="1" spans="1:1" ht="30" customHeight="1">
      <x:c r="A1" s="1" t="s">
        <x:v>10</x:v>
      </x:c>
    </x:row>
    <x:row r="2" spans="1:1">
      <x:c r="A2" s="2" t="s">
        <x:v>55</x:v>
      </x:c>
    </x:row>
    <x:row r="4" spans="1:7" ht="25" customHeight="1">
      <x:c r="A4" s="26" t="s">
        <x:v>159</x:v>
      </x:c>
      <x:c r="B4" s="26"/>
      <x:c r="C4" s="26"/>
      <x:c r="E4" s="27" t="s">
        <x:v>148</x:v>
      </x:c>
      <x:c r="F4" s="27"/>
      <x:c r="G4" s="27"/>
    </x:row>
    <x:row r="5" spans="1:7" ht="22" customHeight="1">
      <x:c r="A5" s="11" t="s">
        <x:v>100</x:v>
      </x:c>
      <x:c r="B5" s="12" t="s">
        <x:v>23</x:v>
      </x:c>
      <x:c r="C5" s="13" t="s">
        <x:v>131</x:v>
      </x:c>
      <x:c r="E5" s="14" t="s">
        <x:v>39</x:v>
      </x:c>
      <x:c r="F5" s="14" t="s">
        <x:v>129</x:v>
      </x:c>
      <x:c r="G5" s="14" t="s">
        <x:v>0</x:v>
      </x:c>
    </x:row>
    <x:row r="6" spans="1:7" ht="20" customHeight="1">
      <x:c r="A6" s="11" t="s">
        <x:v>17</x:v>
      </x:c>
      <x:c r="B6" s="12" t="s">
        <x:v>5</x:v>
      </x:c>
      <x:c r="C6" s="13" t="s">
        <x:v>33</x:v>
      </x:c>
      <x:c r="E6" s="15" t="s">
        <x:v>18</x:v>
      </x:c>
      <x:c r="F6" s="16">
        <x:f>IF(OR(B6="영양사 (1유형)",B5="영양사 (1유형)",B6="일반 교육공무직 (1유형)",B5="일반 교육공무직 (1유형)"),2344500,2144500)*B7/40</x:f>
        <x:v>2144500</x:v>
      </x:c>
      <x:c r="G6" s="17" t="s">
        <x:v>21</x:v>
      </x:c>
    </x:row>
    <x:row r="7" spans="1:7" ht="20" customHeight="1">
      <x:c r="A7" s="11" t="s">
        <x:v>48</x:v>
      </x:c>
      <x:c r="B7" s="12">
        <x:v>40</x:v>
      </x:c>
      <x:c r="C7" s="13" t="s">
        <x:v>27</x:v>
      </x:c>
      <x:c r="E7" s="15" t="s">
        <x:v>72</x:v>
      </x:c>
      <x:c r="F7" s="16">
        <x:f>IF(OR(B6="조리사 (2유형)",B6="조리실무사 (2유형)",B5="조리사 (2유형)",B5="조리실무사 (2유형)",B6="영양사 (1유형)",B5="영양사 (1유형)"),70000,0)*B7/40</x:f>
        <x:v>0</x:v>
      </x:c>
      <x:c r="G7" s="17" t="s">
        <x:v>153</x:v>
      </x:c>
    </x:row>
    <x:row r="8" spans="1:7" ht="20" customHeight="1">
      <x:c r="A8" s="11" t="s">
        <x:v>16</x:v>
      </x:c>
      <x:c r="B8" s="12">
        <x:v>13</x:v>
      </x:c>
      <x:c r="C8" s="13" t="s">
        <x:v>162</x:v>
      </x:c>
      <x:c r="E8" s="15" t="s">
        <x:v>74</x:v>
      </x:c>
      <x:c r="F8" s="16">
        <x:f>IF(OR(B6="조리사 (2유형)",B5="조리사 (2유형)"),107220,IF(OR(B6="영양사 (1유형)",B5="영양사 (1유형)"),117220,0))*B7/40</x:f>
        <x:v>0</x:v>
      </x:c>
      <x:c r="G8" s="17" t="s">
        <x:v>11</x:v>
      </x:c>
    </x:row>
    <x:row r="9" spans="1:7" ht="20" customHeight="1">
      <x:c r="A9" s="11" t="s">
        <x:v>114</x:v>
      </x:c>
      <x:c r="B9" s="12" t="s">
        <x:v>41</x:v>
      </x:c>
      <x:c r="C9" s="13" t="s">
        <x:v>161</x:v>
      </x:c>
      <x:c r="E9" s="15" t="s">
        <x:v>78</x:v>
      </x:c>
      <x:c r="F9" s="16">
        <x:f>IF(B7&gt;=15,160000,0)</x:f>
        <x:v>160000</x:v>
      </x:c>
      <x:c r="G9" s="17" t="s">
        <x:v>160</x:v>
      </x:c>
    </x:row>
    <x:row r="10" spans="1:7" ht="20" customHeight="1">
      <x:c r="A10" s="11" t="s">
        <x:v>115</x:v>
      </x:c>
      <x:c r="B10" s="12" t="s">
        <x:v>41</x:v>
      </x:c>
      <x:c r="C10" s="13" t="s">
        <x:v>161</x:v>
      </x:c>
      <x:c r="E10" s="15" t="s">
        <x:v>111</x:v>
      </x:c>
      <x:c r="F10" s="16">
        <x:f>IF(B8&gt;=1,B8*41000,0)*B7/40</x:f>
        <x:v>533000</x:v>
      </x:c>
      <x:c r="G10" s="17" t="s">
        <x:v>28</x:v>
      </x:c>
    </x:row>
    <x:row r="11" spans="5:7" ht="20" customHeight="1">
      <x:c r="E11" s="15" t="s">
        <x:v>112</x:v>
      </x:c>
      <x:c r="F11" s="16">
        <x:f>IF(B9="예",1000000/12,0)*B7/40</x:f>
        <x:v>83333.333333333328</x:v>
      </x:c>
      <x:c r="G11" s="17" t="s">
        <x:v>144</x:v>
      </x:c>
    </x:row>
    <x:row r="12" spans="5:7" ht="20" customHeight="1">
      <x:c r="E12" s="15" t="s">
        <x:v>110</x:v>
      </x:c>
      <x:c r="F12" s="16">
        <x:f>IF(B10="예",2144500/12,0)</x:f>
        <x:v>178708.33333333334</x:v>
      </x:c>
      <x:c r="G12" s="17" t="s">
        <x:v>14</x:v>
      </x:c>
    </x:row>
    <x:row r="13" spans="5:7" ht="20" customHeight="1">
      <x:c r="E13" s="15" t="s">
        <x:v>134</x:v>
      </x:c>
      <x:c r="F13" s="18">
        <x:f>IF(B7=40,209,IF(B7=35,182,IF(B7=30,156,IF(B7=25,130,IF(B7=20,104,IF(B7=15,78,ROUND((365/7/12)*(B7+(B7/40)*8),0)))))))</x:f>
        <x:v>209</x:v>
      </x:c>
      <x:c r="G13" s="17" t="s">
        <x:v>126</x:v>
      </x:c>
    </x:row>
    <x:row r="14" spans="5:7" ht="22" customHeight="1">
      <x:c r="E14" s="15" t="s">
        <x:v>125</x:v>
      </x:c>
      <x:c r="F14" s="16">
        <x:f>SUM(F6:F12)</x:f>
        <x:v>3099541.666666667</x:v>
      </x:c>
      <x:c r="G14" s="19" t="s">
        <x:v>20</x:v>
      </x:c>
    </x:row>
    <x:row r="15" spans="5:7" ht="25" customHeight="1">
      <x:c r="E15" s="20" t="s">
        <x:v>145</x:v>
      </x:c>
      <x:c r="F15" s="21">
        <x:f>ROUND(F14/F13,0)</x:f>
        <x:v>14830</x:v>
      </x:c>
      <x:c r="G15" s="22" t="s">
        <x:v>26</x:v>
      </x:c>
    </x:row>
    <x:row r="16" spans="5:7" ht="22" customHeight="1">
      <x:c r="E16" s="15" t="s">
        <x:v>142</x:v>
      </x:c>
      <x:c r="F16" s="16" t="str">
        <x:f>IF(B5="방학중비근무자",F6+F7+F8+F9,"-")</x:f>
        <x:v>-</x:v>
      </x:c>
      <x:c r="G16" s="19" t="s">
        <x:v>19</x:v>
      </x:c>
    </x:row>
    <x:row r="17" spans="5:7" ht="25" customHeight="1">
      <x:c r="E17" s="23" t="s">
        <x:v>163</x:v>
      </x:c>
      <x:c r="F17" s="24" t="str">
        <x:f>IF(B5="방학중비근무자",ROUND(F16/F13,0),"해당없음")</x:f>
        <x:v>해당없음</x:v>
      </x:c>
      <x:c r="G17" s="25" t="s">
        <x:v>25</x:v>
      </x:c>
    </x:row>
    <x:row r="20" spans="1:7" ht="25" customHeight="1">
      <x:c r="A20" s="26" t="s">
        <x:v>12</x:v>
      </x:c>
      <x:c r="B20" s="26"/>
      <x:c r="C20" s="26"/>
      <x:c r="D20" s="26"/>
      <x:c r="E20" s="26"/>
      <x:c r="F20" s="26"/>
      <x:c r="G20" s="26"/>
    </x:row>
    <x:row r="21" spans="1:7" ht="25" customHeight="1">
      <x:c r="A21" s="14" t="s">
        <x:v>113</x:v>
      </x:c>
      <x:c r="B21" s="14" t="s">
        <x:v>95</x:v>
      </x:c>
      <x:c r="C21" s="14" t="s">
        <x:v>101</x:v>
      </x:c>
      <x:c r="D21" s="14" t="s">
        <x:v>140</x:v>
      </x:c>
      <x:c r="E21" s="14" t="s">
        <x:v>99</x:v>
      </x:c>
      <x:c r="F21" s="14" t="s">
        <x:v>141</x:v>
      </x:c>
      <x:c r="G21" s="14" t="s">
        <x:v>123</x:v>
      </x:c>
    </x:row>
    <x:row r="22" spans="1:7" ht="20" customHeight="1">
      <x:c r="A22" s="4" t="s">
        <x:v>136</x:v>
      </x:c>
      <x:c r="B22" s="9" t="s">
        <x:v>67</x:v>
      </x:c>
      <x:c r="C22" s="9" t="s">
        <x:v>97</x:v>
      </x:c>
      <x:c r="D22" s="9" t="s">
        <x:v>60</x:v>
      </x:c>
      <x:c r="E22" s="9" t="s">
        <x:v>88</x:v>
      </x:c>
      <x:c r="F22" s="9" t="s">
        <x:v>96</x:v>
      </x:c>
      <x:c r="G22" s="4" t="s">
        <x:v>151</x:v>
      </x:c>
    </x:row>
    <x:row r="23" spans="1:7" ht="20" customHeight="1">
      <x:c r="A23" s="6" t="s">
        <x:v>138</x:v>
      </x:c>
      <x:c r="B23" s="10" t="s">
        <x:v>67</x:v>
      </x:c>
      <x:c r="C23" s="10" t="s">
        <x:v>97</x:v>
      </x:c>
      <x:c r="D23" s="10" t="s">
        <x:v>61</x:v>
      </x:c>
      <x:c r="E23" s="10" t="s">
        <x:v>88</x:v>
      </x:c>
      <x:c r="F23" s="10" t="s">
        <x:v>98</x:v>
      </x:c>
      <x:c r="G23" s="6" t="s">
        <x:v>128</x:v>
      </x:c>
    </x:row>
    <x:row r="24" spans="1:7" ht="20" customHeight="1">
      <x:c r="A24" s="4" t="s">
        <x:v>137</x:v>
      </x:c>
      <x:c r="B24" s="9" t="s">
        <x:v>81</x:v>
      </x:c>
      <x:c r="C24" s="9" t="s">
        <x:v>97</x:v>
      </x:c>
      <x:c r="D24" s="9" t="s">
        <x:v>62</x:v>
      </x:c>
      <x:c r="E24" s="9" t="s">
        <x:v>89</x:v>
      </x:c>
      <x:c r="F24" s="9" t="s">
        <x:v>93</x:v>
      </x:c>
      <x:c r="G24" s="4" t="s">
        <x:v>164</x:v>
      </x:c>
    </x:row>
    <x:row r="25" spans="1:7" ht="20" customHeight="1">
      <x:c r="A25" s="6" t="s">
        <x:v>139</x:v>
      </x:c>
      <x:c r="B25" s="10" t="s">
        <x:v>67</x:v>
      </x:c>
      <x:c r="C25" s="10" t="s">
        <x:v>106</x:v>
      </x:c>
      <x:c r="D25" s="10" t="s">
        <x:v>59</x:v>
      </x:c>
      <x:c r="E25" s="10" t="s">
        <x:v>88</x:v>
      </x:c>
      <x:c r="F25" s="10" t="s">
        <x:v>105</x:v>
      </x:c>
      <x:c r="G25" s="6" t="s">
        <x:v>122</x:v>
      </x:c>
    </x:row>
    <x:row r="26" spans="1:7" ht="20" customHeight="1">
      <x:c r="A26" s="4" t="s">
        <x:v>135</x:v>
      </x:c>
      <x:c r="B26" s="9" t="s">
        <x:v>67</x:v>
      </x:c>
      <x:c r="C26" s="9" t="s">
        <x:v>107</x:v>
      </x:c>
      <x:c r="D26" s="9" t="s">
        <x:v>58</x:v>
      </x:c>
      <x:c r="E26" s="9" t="s">
        <x:v>88</x:v>
      </x:c>
      <x:c r="F26" s="9" t="s">
        <x:v>108</x:v>
      </x:c>
      <x:c r="G26" s="4" t="s">
        <x:v>122</x:v>
      </x:c>
    </x:row>
  </x:sheetData>
  <x:mergeCells count="3">
    <x:mergeCell ref="A4:C4"/>
    <x:mergeCell ref="E4:G4"/>
    <x:mergeCell ref="A20:G20"/>
  </x:mergeCells>
  <x:dataValidations count="5">
    <x:dataValidation type="list" allowBlank="1" sqref="B5:B5">
      <x:formula1>"상시근무자,방학중비근무자"</x:formula1>
    </x:dataValidation>
    <x:dataValidation type="list" allowBlank="1" sqref="B6:B6">
      <x:formula1>"조리사 (2유형),조리실무사 (2유형),영양사 (1유형),일반 교육공무직 (1유형),일반 교육공무직 (2유형)"</x:formula1>
    </x:dataValidation>
    <x:dataValidation type="list" allowBlank="1" sqref="B9:B9 B10:B10">
      <x:formula1>"예,아니오"</x:formula1>
    </x:dataValidation>
    <x:dataValidation type="whole" allowBlank="1" sqref="B7:B7">
      <x:formula1>15</x:formula1>
      <x:formula2>40</x:formula2>
    </x:dataValidation>
    <x:dataValidation type="whole" allowBlank="1" sqref="B8:B8">
      <x:formula1>0</x:formula1>
      <x:formula2>24</x:formula2>
    </x:dataValidation>
  </x:dataValidations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사용안내 및 법적근거</vt:lpstr>
      <vt:lpstr>통상임금 계산기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4</cp:revision>
  <dcterms:created xsi:type="dcterms:W3CDTF">2026-08-27T08:00:30.000</dcterms:created>
  <dcterms:modified xsi:type="dcterms:W3CDTF">2026-08-27T08:09:22.305</dcterms:modified>
  <cp:version>1200.0100.01</cp:version>
</cp:coreProperties>
</file>