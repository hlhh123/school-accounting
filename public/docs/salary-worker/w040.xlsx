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4_연차수당\02_계산식\"/>
    </mc:Choice>
  </mc:AlternateContent>
  <x:bookViews>
    <x:workbookView xWindow="0" yWindow="0" windowWidth="28545" windowHeight="11340" activeTab="2"/>
  </x:bookViews>
  <x:sheets>
    <x:sheet name="중도입사자 연차마스터" sheetId="1" r:id="rId4"/>
    <x:sheet name="연차수당 계산기 (종합)" sheetId="2" r:id="rId5"/>
    <x:sheet name="연차 실무 가이드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<x:sst xmlns:r="http://schemas.openxmlformats.org/officeDocument/2006/relationships" xmlns:c="http://schemas.openxmlformats.org/drawingml/2006/chart" xmlns:x="http://schemas.openxmlformats.org/spreadsheetml/2006/main" count="297" uniqueCount="209">
  <x:si>
    <x:t>시설미화원</x:t>
  </x:si>
  <x:si>
    <x:t>2025-03-24</x:t>
  </x:si>
  <x:si>
    <x:t>2025-04-24</x:t>
  </x:si>
  <x:si>
    <x:t>2025-07-24</x:t>
  </x:si>
  <x:si>
    <x:t>2025-05-24</x:t>
  </x:si>
  <x:si>
    <x:t>2025-06-24</x:t>
  </x:si>
  <x:si>
    <x:t>1일 소정근로시간</x:t>
  </x:si>
  <x:si>
    <x:t>비고</x:t>
  </x:si>
  <x:si>
    <x:t>구분</x:t>
  </x:si>
  <x:si>
    <x:t>성명</x:t>
  </x:si>
  <x:si>
    <x:t>-</x:t>
  </x:si>
  <x:si>
    <x:t>박미화 (시설미화원)</x:t>
  </x:si>
  <x:si>
    <x:t>2021-09-01</x:t>
  </x:si>
  <x:si>
    <x:t>2022-03-01</x:t>
  </x:si>
  <x:si>
    <x:t>이영희 (행정실무사)</x:t>
  </x:si>
  <x:si>
    <x:t>1일소정시간
(시간)</x:t>
  </x:si>
  <x:si>
    <x:t>계속근로일수
(일수)</x:t>
  </x:si>
  <x:si>
    <x:t>중도입사
비례여부</x:t>
  </x:si>
  <x:si>
    <x:t>주소정시간
(시간)</x:t>
  </x:si>
  <x:si>
    <x:t>계속근로연수
(년)</x:t>
  </x:si>
  <x:si>
    <x:t>사용연차
(일수)</x:t>
  </x:si>
  <x:si>
    <x:t>출근율
80%이상</x:t>
  </x:si>
  <x:si>
    <x:t>최종부여
(일수)</x:t>
  </x:si>
  <x:si>
    <x:t>사용연차
(시간단위)</x:t>
  </x:si>
  <x:si>
    <x:t>미사용잔여
(일수)</x:t>
  </x:si>
  <x:si>
    <x:t>기준부여
(일수)</x:t>
  </x:si>
  <x:si>
    <x:t>최종부여
(시간)</x:t>
  </x:si>
  <x:si>
    <x:t>미사용잔여
(시간)</x:t>
  </x:si>
  <x:si>
    <x:t>방학중 비근무자</x:t>
  </x:si>
  <x:si>
    <x:t>2025-06-01</x:t>
  </x:si>
  <x:si>
    <x:t>김철수 (조리사)</x:t>
  </x:si>
  <x:si>
    <x:t>홍길동 (조리실무사)</x:t>
  </x:si>
  <x:si>
    <x:t>시간급
통상임금(원)</x:t>
  </x:si>
  <x:si>
    <x:t>최종미사용
수당(원)</x:t>
  </x:si>
  <x:si>
    <x:t>일반 교육공무직원</x:t>
  </x:si>
  <x:si>
    <x:t>2026.03.01 ~ 2027.02.28 동안 휴가로 사용하게 되는 정상 연차 일수 (비례 아님)</x:t>
  </x:si>
  <x:si>
    <x:t>2026-03-01</x:t>
  </x:si>
  <x:si>
    <x:t>합계 (Total)</x:t>
  </x:si>
  <x:si>
    <x:t>2024-03-01</x:t>
  </x:si>
  <x:si>
    <x:t>2023-03-01</x:t>
  </x:si>
  <x:si>
    <x:t>최당직 (시설당직원)</x:t>
  </x:si>
  <x:si>
    <x:t>방학비근무자 특례</x:t>
  </x:si>
  <x:si>
    <x:t>시간단위 연차공제</x:t>
  </x:si>
  <x:si>
    <x:t>퇴직 시 재정산 원칙</x:t>
  </x:si>
  <x:si>
    <x:t>단시간 근로자 비례식</x:t>
  </x:si>
  <x:si>
    <x:t>정산 대상 교육공무직원 성명 (예시: 2025.2.24 입사자)</x:t>
  </x:si>
  <x:si>
    <x:t>일 연차휴가 사용 및 수당 산식 기준이 되는 하루 근무시간</x:t>
  </x:si>
  <x:si>
    <x:t>1. 연차유급휴가 기본 일수 (1년 이상 근무자, 출근율 80% 이상)</x:t>
  </x:si>
  <x:si>
    <x:t>입사일로부터 1년이 종료된 다음 달 급여일에 미사용 잔여분을 정산하여 지급</x:t>
  </x:si>
  <x:si>
    <x:t>교육공무직원 및 특수운영직군 연차유급휴가 실무 지침서</x:t>
  </x:si>
  <x:si>
    <x:t>2. 1년 미만 근로자의 월 단위 연차유급휴가 (월차)</x:t>
  </x:si>
  <x:si>
    <x:t>3. 중도 채용자 및 단시간 근로자 연차휴가 산정 특례</x:t>
  </x:si>
  <x:si>
    <x:t>1개월 개근 시 그 다음 날 1일씩 발생 (최대 11일)</x:t>
  </x:si>
  <x:si>
    <x:t>시설당직원</x:t>
  </x:si>
  <x:si>
    <x:t>12일</x:t>
  </x:si>
  <x:si>
    <x:t>아니오</x:t>
  </x:si>
  <x:si>
    <x:t>단체협약 제71조</x:t>
  </x:si>
  <x:si>
    <x:t>최초 가산일 발생</x:t>
  </x:si>
  <x:si>
    <x:t>+10일~ 가산</x:t>
  </x:si>
  <x:si>
    <x:t>기본 연차 부여</x:t>
  </x:si>
  <x:si>
    <x:t>가산 연차 규칙</x:t>
  </x:si>
  <x:si>
    <x:t>방학 중 비근무자</x:t>
  </x:si>
  <x:si>
    <x:t>주 소정근로시간</x:t>
  </x:si>
  <x:si>
    <x:t>2025-02-24</x:t>
  </x:si>
  <x:si>
    <x:t>계속근로 1년 차 도달 및 80% 충족에 따른 기본 일수 (상시 15일, 방학 12일)</x:t>
  </x:si>
  <x:si>
    <x:t>방학기간 중 출근일을 제외한 방학 일수가 월 중 15일 이상인 달은 해당 월의 월 단위 연차 미발생</x:t>
  </x:si>
  <x:si>
    <x:t>※ 파란색 음영 셀은 사용자 입력란이고, 초록색 음영 셀은 수식에 의한 자동 계산 결과입니다.</x:t>
  </x:si>
  <x:si>
    <x:t>교육공무직원 및 특수운영직군 연차유급휴가 및 미사용수당 자동 계산기 (2026학년도 회계연도용)</x:t>
  </x:si>
  <x:si>
    <x:t>근로자 성명</x:t>
  </x:si>
  <x:si>
    <x:t>사용 일수</x:t>
  </x:si>
  <x:si>
    <x:t>근무 형태</x:t>
  </x:si>
  <x:si>
    <x:t>개근 여부</x:t>
  </x:si>
  <x:si>
    <x:t>연차 발생일자</x:t>
  </x:si>
  <x:si>
    <x:t>홍길동 주무관</x:t>
  </x:si>
  <x:si>
    <x:t>발생일수</x:t>
  </x:si>
  <x:si>
    <x:t>미사용 잔여일</x:t>
  </x:si>
  <x:si>
    <x:t>10회차</x:t>
  </x:si>
  <x:si>
    <x:t>회계 비례연차</x:t>
  </x:si>
  <x:si>
    <x:t>계속근로일수</x:t>
  </x:si>
  <x:si>
    <x:t>11회차</x:t>
  </x:si>
  <x:si>
    <x:t>12회차</x:t>
  </x:si>
  <x:si>
    <x:t>회계연도총일수</x:t>
  </x:si>
  <x:si>
    <x:t>예</x:t>
  </x:si>
  <x:si>
    <x:t>원</x:t>
  </x:si>
  <x:si>
    <x:t>종료일</x:t>
  </x:si>
  <x:si>
    <x:t>여부</x:t>
  </x:si>
  <x:si>
    <x:t>시작일</x:t>
  </x:si>
  <x:si>
    <x:t>비례연차 사용실적 및 미사용 잔여</x:t>
  </x:si>
  <x:si>
    <x:t>② 미사용 회계연도 비례연차 일수</x:t>
  </x:si>
  <x:si>
    <x:t>💡 사용 방법 안내:
1. [중도입사자 연차마스터] 시트로 이동하여, 대상 중도입사자의 입사일, 시급, 근무형태 등을 대입해 1년 차 월차와 비례연차가 3월 급여에 어떻게 정합되어 정산되는지 원 단위까지 검증합니다.
2. 다수 직원을 일괄적으로 관리할 때는 [연차수당 계산기 (종합)] 시트의 파란색 부분에 입력하여 월 단위 연차 정산과 연도 말 미사용수당을 일괄 계산하십시오.</x:t>
  </x:si>
  <x:si>
    <x:t>출근율 80% 미만 시 실제 12개월 중 매월 결근 없이 만근하여 발생한 개근 월수</x:t>
  </x:si>
  <x:si>
    <x:t>출근율 80% 이상 충족 시 정상 부여, 미달 시 전년 개근 월수 부여 (드롭다운)</x:t>
  </x:si>
  <x:si>
    <x:t>2. 계속근로 1년 미만 기간 '월 단위 연차유급휴가 (월차)' 발생 및 미사용 현황</x:t>
  </x:si>
  <x:si>
    <x:t>2025학년도 (25.03.01~26.02.28) 출근율 80% 이상 충족 여부</x:t>
  </x:si>
  <x:si>
    <x:t>지각·조퇴·외출 등은 각각 합산하여 1일 소정근로시간 단위로 환산 후 연차휴가 1일 단위로 공제함</x:t>
  </x:si>
  <x:si>
    <x:t>7회차</x:t>
  </x:si>
  <x:si>
    <x:t>8회차</x:t>
  </x:si>
  <x:si>
    <x:t>9회차</x:t>
  </x:si>
  <x:si>
    <x:t>1회차</x:t>
  </x:si>
  <x:si>
    <x:t>2회차</x:t>
  </x:si>
  <x:si>
    <x:t>3회차</x:t>
  </x:si>
  <x:si>
    <x:t>4회차</x:t>
  </x:si>
  <x:si>
    <x:t>6회차</x:t>
  </x:si>
  <x:si>
    <x:t>회차</x:t>
  </x:si>
  <x:si>
    <x:t>5회차</x:t>
  </x:si>
  <x:si>
    <x:t>Generated 2026-08-27 | v2.1 (경기도교육청 급여 매뉴얼 및 단체협약 최신 기준 반영)</x:t>
  </x:si>
  <x:si>
    <x:t>통상근로자 연차일수 × (단시간근로자 1주 소정근로시간 ÷ 40시간) × 8시간 (시간 단위로 계산 부여)</x:t>
  </x:si>
  <x:si>
    <x:t>평상시는 회계연도 기준 정산하나, 퇴직 시에는 입사일 기준과 총 일수를 비교하여 부족하면 차액 추가 정산</x:t>
  </x:si>
  <x:si>
    <x:t>연차휴가 산정 대상 요건 (입력)</x:t>
  </x:si>
  <x:si>
    <x:t>이후 매 2년마다 1일씩 가산</x:t>
  </x:si>
  <x:si>
    <x:t>근로자 기본 계약 형태 (입력)</x:t>
  </x:si>
  <x:si>
    <x:t>상시와 방학비근무 기본 수 차이</x:t>
  </x:si>
  <x:si>
    <x:t>입사일
(YYYY-MM-DD)</x:t>
  </x:si>
  <x:si>
    <x:t>경기도교육청 취업규칙 제61조</x:t>
  </x:si>
  <x:si>
    <x:t>상시근무자</x:t>
  </x:si>
  <x:si>
    <x:t>대기행 1</x:t>
  </x:si>
  <x:si>
    <x:t>전년개근
월수</x:t>
  </x:si>
  <x:si>
    <x:t>대기행 10</x:t>
  </x:si>
  <x:si>
    <x:t>대기행 7</x:t>
  </x:si>
  <x:si>
    <x:t>대기행 6</x:t>
  </x:si>
  <x:si>
    <x:t>대기행 4</x:t>
  </x:si>
  <x:si>
    <x:t>대기행 5</x:t>
  </x:si>
  <x:si>
    <x:t>대기행 9</x:t>
  </x:si>
  <x:si>
    <x:t>대기행 2</x:t>
  </x:si>
  <x:si>
    <x:t>대기행 3</x:t>
  </x:si>
  <x:si>
    <x:t>대기행 8</x:t>
  </x:si>
  <x:si>
    <x:t>정산 시기</x:t>
  </x:si>
  <x:si>
    <x:t>발생 조건</x:t>
  </x:si>
  <x:si>
    <x:t>5년 ~ 6년</x:t>
  </x:si>
  <x:si>
    <x:t>21년 이상</x:t>
  </x:si>
  <x:si>
    <x:t>계속근로연수</x:t>
  </x:si>
  <x:si>
    <x:t>사용 기간</x:t>
  </x:si>
  <x:si>
    <x:t>+1일 가산</x:t>
  </x:si>
  <x:si>
    <x:t>+2일 가산</x:t>
  </x:si>
  <x:si>
    <x:t>3년 ~ 4년</x:t>
  </x:si>
  <x:si>
    <x:t>1년 ~ 2년</x:t>
  </x:si>
  <x:si>
    <x:t>법적 근거 및 취업규칙</x:t>
  </x:si>
  <x:si>
    <x:t>근무형태
(상시/방학비근무)</x:t>
  </x:si>
  <x:si>
    <x:t>근로기준법 제60조 제1항</x:t>
  </x:si>
  <x:si>
    <x:t>직종
(일반/미화원/당직원)</x:t>
  </x:si>
  <x:si>
    <x:t>사용기간 종료 다음 날</x:t>
  </x:si>
  <x:si>
    <x:t>상한선 25일 한도 적용</x:t>
  </x:si>
  <x:si>
    <x:t>25일 초과 불가 (한도)</x:t>
  </x:si>
  <x:si>
    <x:t>중도 채용자 (회계 비례)</x:t>
  </x:si>
  <x:si>
    <x:t>기본 연차일수(12일 또는 15일) × 계속근로일수(입사일~2.28) ÷ 365 (소수점 셋째 자리 반올림)</x:t>
  </x:si>
  <x:si>
    <x:t>시간외/연차수당 지급액 계산 결과 (수식)</x:t>
  </x:si>
  <x:si>
    <x:t>※ Gyeonggi-do Office of Education Guidelines / 2025학년도~2026학년도 회계연도 기준 반영</x:t>
  </x:si>
  <x:si>
    <x:t>연차휴가 발생 및 사용내역 (수식 및 일부 입력)</x:t>
  </x:si>
  <x:si>
    <x:t>14일</x:t>
  </x:si>
  <x:si>
    <x:t>17일</x:t>
  </x:si>
  <x:si>
    <x:t>15일</x:t>
  </x:si>
  <x:si>
    <x:t>13일</x:t>
  </x:si>
  <x:si>
    <x:t>25일</x:t>
  </x:si>
  <x:si>
    <x:t>16일</x:t>
  </x:si>
  <x:si>
    <x:t>23일</x:t>
  </x:si>
  <x:si>
    <x:t>2025-02-24 ~ 2025-03-23</x:t>
  </x:si>
  <x:si>
    <x:t>2025-06-24 ~ 2025-07-23</x:t>
  </x:si>
  <x:si>
    <x:t>2025-05-24 ~ 2025-06-23</x:t>
  </x:si>
  <x:si>
    <x:t>2025-03-24 ~ 2025-04-23</x:t>
  </x:si>
  <x:si>
    <x:t>2025-04-24 ~ 2025-05-23</x:t>
  </x:si>
  <x:si>
    <x:t>2025-07-24 ~ 2025-08-23</x:t>
  </x:si>
  <x:si>
    <x:t>2025-10-24 ~ 2025-11-23</x:t>
  </x:si>
  <x:si>
    <x:t>2025-09-24 ~ 2025-10-23</x:t>
  </x:si>
  <x:si>
    <x:t>2025-12-24 ~ 2026-01-23</x:t>
  </x:si>
  <x:si>
    <x:t>2025-11-24 ~ 2025-12-23</x:t>
  </x:si>
  <x:si>
    <x:t>2026-01-24 ~ 2026-02-23</x:t>
  </x:si>
  <x:si>
    <x:t>2025-08-24 ~ 2025-09-23</x:t>
  </x:si>
  <x:si>
    <x:t>① 미사용 월 단위 연차 (월차) 일수</x:t>
  </x:si>
  <x:si>
    <x:t>적용 일급 통상임금 (1일 통상단가)</x:t>
  </x:si>
  <x:si>
    <x:t>비례연차 부여일</x:t>
  </x:si>
  <x:si>
    <x:t>미사용 잔여분 정산</x:t>
  </x:si>
  <x:si>
    <x:t>2025-02-28</x:t>
  </x:si>
  <x:si>
    <x:t>입사일로부터 1년이 되는 날까지 사용 (기간 종료 시 소멸)</x:t>
  </x:si>
  <x:si>
    <x:t>2026년 3월 급여대장의 '연차유급휴가미사용수당'에 입력하여 결재할 금액</x:t>
  </x:si>
  <x:si>
    <x:t>4. 차기 학년도 (2026년 3월 1일 자) 정상 회계연도 연차 발생 예측</x:t>
  </x:si>
  <x:si>
    <x:t>연차휴가 1일 미사용수당 단가 (=시간급 통상시급 × 1일 소정근로시간)</x:t>
  </x:si>
  <x:si>
    <x:t>2026년 2월 23일 사용기한 종료 ➡ 2026년 3월 급여 지급 대상</x:t>
  </x:si>
  <x:si>
    <x:t>2026년 2월 28일 사용기한 종료 ➡ 2026년 3월 급여 지급 대상</x:t>
  </x:si>
  <x:si>
    <x:t>2026년 3월에 동시 소멸되어 한 번에 수당으로 정산 지급해야 할 일수</x:t>
  </x:si>
  <x:si>
    <x:t>일</x:t>
  </x:si>
  <x:si>
    <x:t>★ 2026년 3월 급여 마감 시점 연차유급휴가 미사용수당 통합 정산 결과 (합산 지급용)</x:t>
  </x:si>
  <x:si>
    <x:t>상시근무자 (기본 15일) 또는 방학 중 비근무자 (기본 12일)</x:t>
  </x:si>
  <x:si>
    <x:t>3. 첫 회계연도 잔여일에 대한 '회계연도 비례 연차' 산정 및 정산</x:t>
  </x:si>
  <x:si>
    <x:t>예측 최종 2026학년도 (2026.03.01 자) 발생 연차 일수</x:t>
  </x:si>
  <x:si>
    <x:t>중도입사자(신규채용자) 연차유급휴가 및 미사용수당 1:1 맞춤 정산기</x:t>
  </x:si>
  <x:si>
    <x:t>수당 계산용 1일 기준 단가 (=시간급 통상시급 × 1일 소정근로시간)</x:t>
  </x:si>
  <x:si>
    <x:t>시간급 통상임금 (통상시급)</x:t>
  </x:si>
  <x:si>
    <x:t>실제 채용일 (입사일)</x:t>
  </x:si>
  <x:si>
    <x:t>대상 근무기간 (1개월)</x:t>
  </x:si>
  <x:si>
    <x:t>미사용 비례 잔여(일):</x:t>
  </x:si>
  <x:si>
    <x:t>월 단위 연차 (월차) 소계</x:t>
  </x:si>
  <x:si>
    <x:t>사용한 비례연차(일):</x:t>
  </x:si>
  <x:si>
    <x:t>근로기준법상 최초 근로개시일 (YYYY-MM-DD 형식)</x:t>
  </x:si>
  <x:si>
    <x:t>근로계약에 지정된 주당 소정근로시간 (최대 40시간)</x:t>
  </x:si>
  <x:si>
    <x:t>사용기한: 2025-03-01 ~ 2026-02-28</x:t>
  </x:si>
  <x:si>
    <x:t>출근율 80% 미만 시 전년도 개근 월수 (최대 일수)</x:t>
  </x:si>
  <x:si>
    <x:t>2025-12-24</x:t>
  </x:si>
  <x:si>
    <x:t>2026-01-24</x:t>
  </x:si>
  <x:si>
    <x:t>종료 (법정 만료)</x:t>
  </x:si>
  <x:si>
    <x:t>2025-08-24</x:t>
  </x:si>
  <x:si>
    <x:t>2025-09-24</x:t>
  </x:si>
  <x:si>
    <x:t>2025-10-24</x:t>
  </x:si>
  <x:si>
    <x:t>2025-11-24</x:t>
  </x:si>
  <x:si>
    <x:t>일급 통상임금 (1일 통상임금)</x:t>
  </x:si>
  <x:si>
    <x:t>1. 대상 근로자 인적사항 및 근로계약 기본 조건</x:t>
  </x:si>
  <x:si>
    <x:t>해당 정산 기간에 적용되는 1시간당 통상임금 단가</x:t>
  </x:si>
  <x:si>
    <x:t>★ 최종 2026년 3월 반영 미사용수당 지급액</x:t>
  </x:si>
  <x:si>
    <x:t>정산 대상 연차휴가 합계 일수 (① + ②)</x:t>
  </x:si>
  <x:si>
    <x:t>출근율 80% 이상 시 정상 부여 기준 일수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</x:si>
</x:sst>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&quot;₩&quot;#,##0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9"/>
          <x:color rgb="ff595959"/>
          <hs:size val="100"/>
          <hs:ratio val="100"/>
          <hs:spacing val="0"/>
          <hs:offset val="0"/>
        </x:font>
      </mc:Choice>
      <mc:Fallback>
        <x:font>
          <x:name val="Calibri"/>
          <x:sz val="9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6"/>
          <x:color rgb="ffffffff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ddebf7"/>
        <x:bgColor rgb="ffddebf7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4472c4"/>
        <x:bgColor rgb="ff4472c4"/>
      </x:patternFill>
    </x:fill>
    <x:fill>
      <x:patternFill patternType="solid">
        <x:fgColor rgb="fff2f2f2"/>
        <x:bgColor rgb="fff2f2f2"/>
      </x:patternFill>
    </x:fill>
    <x:fill>
      <x:patternFill patternType="solid">
        <x:fgColor rgb="fffce4d6"/>
        <x:bgColor rgb="fffce4d6"/>
      </x:patternFill>
    </x:fill>
    <x:fill>
      <x:patternFill patternType="solid">
        <x:fgColor rgb="ff2f5597"/>
        <x:bgColor rgb="ff2f5597"/>
      </x:patternFill>
    </x:fill>
    <x:fill>
      <x:patternFill patternType="solid">
        <x:fgColor rgb="ff1f4e78"/>
        <x:bgColor rgb="ff1f4e78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medium">
        <x:color rgb="ff1f4e78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double">
        <x:color rgb="ff1f4e78"/>
      </x:bottom>
    </x:border>
    <x:border>
      <x:left>
        <x:color auto="1"/>
      </x:left>
      <x:right>
        <x:color auto="1"/>
      </x:right>
      <x:top style="thin">
        <x:color rgb="ffbfbfbf"/>
      </x:top>
      <x:bottom style="thin">
        <x:color rgb="ffbfbfbf"/>
      </x:bottom>
    </x:border>
    <x:border>
      <x:left>
        <x:color auto="1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>
        <x:color auto="1"/>
      </x:left>
      <x:right>
        <x:color auto="1"/>
      </x:right>
      <x:top style="thin">
        <x:color rgb="ffbfbfbf"/>
      </x:top>
      <x:bottom style="double">
        <x:color rgb="ff1f4e78"/>
      </x:bottom>
    </x:border>
    <x:border>
      <x:left>
        <x:color auto="1"/>
      </x:left>
      <x:right style="thin">
        <x:color rgb="ffbfbfbf"/>
      </x:right>
      <x:top style="thin">
        <x:color rgb="ffbfbfbf"/>
      </x:top>
      <x:bottom style="double">
        <x:color rgb="ff1f4e78"/>
      </x:bottom>
    </x:border>
  </x:borders>
  <x:cellStyleXfs count="1">
    <x:xf numFmtId="0" fontId="0" fillId="0" borderId="0">
      <x:alignment horizontal="general" vertical="center"/>
    </x:xf>
  </x:cellStyleXfs>
  <x:cellXfs count="63">
    <x:xf numFmtId="0" fontId="0" fillId="0" borderId="0" xfId="0">
      <x:alignment horizontal="general" vertical="bottom"/>
    </x:xf>
    <x:xf numFmtId="0" fontId="6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2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2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2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3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3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0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3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3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7" fillId="2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7" fillId="2" borderId="1" xfId="0" applyBorder="1" applyAlignment="1">
          <x:alignment horizontal="right" vertical="bottom"/>
        </x:xf>
      </mc:Fallback>
    </mc:AlternateContent>
    <x:xf numFmtId="0" fontId="6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3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3" borderId="1" xfId="0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6" fillId="3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6" fillId="3" borderId="1" xfId="0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3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3" borderId="1" xfId="0" applyBorder="1" applyAlignment="1">
          <x:alignment horizontal="right" vertical="center"/>
        </x:xf>
      </mc:Fallback>
    </mc:AlternateContent>
    <x:xf numFmtId="0" fontId="10" fillId="0" borderId="3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11" fillId="6" borderId="3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6" borderId="3" xfId="0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2" borderId="1" xfId="0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2" borderId="1" xfId="0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" xfId="0" applyBorder="1" applyAlignment="1">
          <x:alignment horizontal="center" vertical="center" wrapText="1"/>
        </x:xf>
      </mc:Fallback>
    </mc:AlternateContent>
    <x:xf numFmtId="0" fontId="6" fillId="2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2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3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3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" fontId="0" fillId="3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2" fontId="0" fillId="3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Border="1" applyAlignment="1">
          <x:alignment horizontal="right" vertical="bottom"/>
        </x:xf>
      </mc:Fallback>
    </mc:AlternateContent>
    <x:xf numFmtId="0" fontId="7" fillId="5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5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0" fillId="5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5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5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5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Border="1" applyAlignment="1">
          <x:alignment horizontal="center" vertical="center"/>
        </x:xf>
      </mc:Fallback>
    </mc:AlternateContent>
    <x:xf numFmtId="0" fontId="9" fillId="0" borderId="1" xfId="0" applyBorder="1" applyAlignment="1">
      <x:alignment horizontal="left" vertical="bottom"/>
    </x:xf>
    <x:xf numFmtId="0" fontId="0" fillId="0" borderId="4" xfId="0" applyBorder="1" applyAlignment="1">
      <x:alignment horizontal="general" vertical="bottom"/>
    </x:xf>
    <x:xf numFmtId="0" fontId="0" fillId="0" borderId="5" xfId="0" applyBorder="1" applyAlignment="1">
      <x:alignment horizontal="general" vertical="bottom"/>
    </x:xf>
    <x:xf numFmtId="0" fontId="9" fillId="0" borderId="3" xfId="0" applyBorder="1" applyAlignment="1">
      <x:alignment horizontal="left" vertical="center"/>
    </x:xf>
    <x:xf numFmtId="0" fontId="0" fillId="0" borderId="6" xfId="0" applyBorder="1" applyAlignment="1">
      <x:alignment horizontal="general" vertical="bottom"/>
    </x:xf>
    <x:xf numFmtId="0" fontId="0" fillId="0" borderId="7" xfId="0" applyBorder="1" applyAlignment="1">
      <x:alignment horizontal="general" vertical="bottom"/>
    </x:xf>
    <x:xf numFmtId="0" fontId="8" fillId="7" borderId="0" xfId="0" applyAlignment="1">
      <x:alignment horizontal="left" vertical="center"/>
    </x:xf>
    <x:xf numFmtId="0" fontId="9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Border="1" applyAlignment="1">
          <x:alignment horizontal="center" vertical="bottom"/>
        </x:xf>
      </mc:Fallback>
    </mc:AlternateContent>
    <x:xf numFmtId="0" fontId="0" fillId="5" borderId="1" xfId="0" applyBorder="1" applyAlignment="1">
      <x:alignment horizontal="general" vertical="bottom"/>
    </x:xf>
    <x:xf numFmtId="0" fontId="8" fillId="8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8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0" xfId="0" applyAlignment="1">
          <x:alignment horizontal="center" vertical="center"/>
        </x:xf>
      </mc:Fallback>
    </mc:AlternateContent>
    <x:xf numFmtId="0" fontId="9" fillId="0" borderId="0" xfId="0" applyAlignment="1">
      <x:alignment horizontal="left" vertical="center"/>
    </x:xf>
    <x:xf numFmtId="0" fontId="7" fillId="5" borderId="1" xfId="0" applyBorder="1" applyAlignment="1">
      <x:alignment horizontal="general" vertical="bottom"/>
    </x:xf>
    <x:xf numFmtId="0" fontId="7" fillId="0" borderId="1" xfId="0" applyBorder="1" applyAlignment="1">
      <x:alignment horizontal="general" vertical="bottom"/>
    </x:xf>
    <x:xf numFmtId="0" fontId="0" fillId="0" borderId="1" xfId="0" applyBorder="1" applyAlignment="1">
      <x:alignment horizontal="general" vertical="bottom"/>
    </x:xf>
    <x:xf numFmtId="0" fontId="8" fillId="7" borderId="0" xfId="0" applyAlignment="1">
      <x:alignment horizontal="general" vertical="bottom"/>
    </x:xf>
    <x:xf numFmtId="0" fontId="9" fillId="0" borderId="1" xfId="0" applyBorder="1" applyAlignment="1">
      <x:alignment horizontal="left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5"/>
  <x:sheetViews>
    <x:sheetView showGridLines="0" topLeftCell="A1" zoomScaleNormal="75" zoomScaleSheetLayoutView="100" workbookViewId="0">
      <x:selection activeCell="C15" activeCellId="0" sqref="C15:C15"/>
    </x:sheetView>
  </x:sheetViews>
  <x:sheetFormatPr defaultColWidth="9.00390625" defaultRowHeight="16.39999999999999857891"/>
  <x:cols>
    <x:col min="1" max="1" width="25" customWidth="1"/>
    <x:col min="2" max="3" width="15" customWidth="1"/>
    <x:col min="4" max="4" width="25" customWidth="1"/>
    <x:col min="5" max="6" width="15" customWidth="1"/>
    <x:col min="7" max="7" width="25" customWidth="1"/>
  </x:cols>
  <x:sheetData>
    <x:row r="1" spans="1:7" ht="40" customHeight="1">
      <x:c r="A1" s="53" t="s">
        <x:v>184</x:v>
      </x:c>
      <x:c r="B1" s="53"/>
      <x:c r="C1" s="53"/>
      <x:c r="D1" s="53"/>
      <x:c r="E1" s="53"/>
      <x:c r="F1" s="53"/>
      <x:c r="G1" s="53"/>
    </x:row>
    <x:row r="2" spans="1:7">
      <x:c r="A2" s="54" t="s">
        <x:v>146</x:v>
      </x:c>
      <x:c r="B2" s="54"/>
      <x:c r="C2" s="54"/>
      <x:c r="D2" s="54"/>
      <x:c r="E2" s="54"/>
      <x:c r="F2" s="54"/>
      <x:c r="G2" s="54"/>
    </x:row>
    <x:row r="4" spans="1:3" ht="25" customHeight="1">
      <x:c r="A4" s="48" t="s">
        <x:v>204</x:v>
      </x:c>
      <x:c r="B4" s="48"/>
      <x:c r="C4" s="48"/>
    </x:row>
    <x:row r="5" spans="1:7">
      <x:c r="A5" s="1" t="s">
        <x:v>68</x:v>
      </x:c>
      <x:c r="B5" s="2" t="s">
        <x:v>73</x:v>
      </x:c>
      <x:c r="C5" s="42" t="s">
        <x:v>45</x:v>
      </x:c>
      <x:c r="D5" s="43"/>
      <x:c r="E5" s="43"/>
      <x:c r="F5" s="43"/>
      <x:c r="G5" s="44"/>
    </x:row>
    <x:row r="6" spans="1:7">
      <x:c r="A6" s="1" t="s">
        <x:v>187</x:v>
      </x:c>
      <x:c r="B6" s="2" t="s">
        <x:v>63</x:v>
      </x:c>
      <x:c r="C6" s="42" t="s">
        <x:v>192</x:v>
      </x:c>
      <x:c r="D6" s="43"/>
      <x:c r="E6" s="43"/>
      <x:c r="F6" s="43"/>
      <x:c r="G6" s="44"/>
    </x:row>
    <x:row r="7" spans="1:7">
      <x:c r="A7" s="1" t="s">
        <x:v>70</x:v>
      </x:c>
      <x:c r="B7" s="2" t="s">
        <x:v>114</x:v>
      </x:c>
      <x:c r="C7" s="42" t="s">
        <x:v>181</x:v>
      </x:c>
      <x:c r="D7" s="43"/>
      <x:c r="E7" s="43"/>
      <x:c r="F7" s="43"/>
      <x:c r="G7" s="44"/>
    </x:row>
    <x:row r="8" spans="1:7">
      <x:c r="A8" s="1" t="s">
        <x:v>62</x:v>
      </x:c>
      <x:c r="B8" s="3">
        <x:v>40</x:v>
      </x:c>
      <x:c r="C8" s="42" t="s">
        <x:v>193</x:v>
      </x:c>
      <x:c r="D8" s="43"/>
      <x:c r="E8" s="43"/>
      <x:c r="F8" s="43"/>
      <x:c r="G8" s="44"/>
    </x:row>
    <x:row r="9" spans="1:7">
      <x:c r="A9" s="1" t="s">
        <x:v>6</x:v>
      </x:c>
      <x:c r="B9" s="3">
        <x:v>8</x:v>
      </x:c>
      <x:c r="C9" s="42" t="s">
        <x:v>46</x:v>
      </x:c>
      <x:c r="D9" s="43"/>
      <x:c r="E9" s="43"/>
      <x:c r="F9" s="43"/>
      <x:c r="G9" s="44"/>
    </x:row>
    <x:row r="10" spans="1:7">
      <x:c r="A10" s="1" t="s">
        <x:v>186</x:v>
      </x:c>
      <x:c r="B10" s="4">
        <x:v>13000</x:v>
      </x:c>
      <x:c r="C10" s="42" t="s">
        <x:v>205</x:v>
      </x:c>
      <x:c r="D10" s="43"/>
      <x:c r="E10" s="43"/>
      <x:c r="F10" s="43"/>
      <x:c r="G10" s="44"/>
    </x:row>
    <x:row r="11" spans="1:7">
      <x:c r="A11" s="1" t="s">
        <x:v>203</x:v>
      </x:c>
      <x:c r="B11" s="5">
        <x:f>B10*B9</x:f>
        <x:v>104000</x:v>
      </x:c>
      <x:c r="C11" s="42" t="s">
        <x:v>175</x:v>
      </x:c>
      <x:c r="D11" s="43"/>
      <x:c r="E11" s="43"/>
      <x:c r="F11" s="43"/>
      <x:c r="G11" s="44"/>
    </x:row>
    <x:row r="13" spans="1:7" ht="25" customHeight="1">
      <x:c r="A13" s="48" t="s">
        <x:v>92</x:v>
      </x:c>
      <x:c r="B13" s="48"/>
      <x:c r="C13" s="48"/>
      <x:c r="D13" s="48"/>
      <x:c r="E13" s="48"/>
      <x:c r="F13" s="48"/>
      <x:c r="G13" s="48"/>
    </x:row>
    <x:row r="14" spans="1:7" ht="25" customHeight="1">
      <x:c r="A14" s="6" t="s">
        <x:v>103</x:v>
      </x:c>
      <x:c r="B14" s="6" t="s">
        <x:v>188</x:v>
      </x:c>
      <x:c r="C14" s="6" t="s">
        <x:v>71</x:v>
      </x:c>
      <x:c r="D14" s="6" t="s">
        <x:v>72</x:v>
      </x:c>
      <x:c r="E14" s="6" t="s">
        <x:v>74</x:v>
      </x:c>
      <x:c r="F14" s="6" t="s">
        <x:v>69</x:v>
      </x:c>
      <x:c r="G14" s="6" t="s">
        <x:v>75</x:v>
      </x:c>
    </x:row>
    <x:row r="15" spans="1:7" ht="20" customHeight="1">
      <x:c r="A15" s="7" t="s">
        <x:v>98</x:v>
      </x:c>
      <x:c r="B15" s="7" t="s">
        <x:v>155</x:v>
      </x:c>
      <x:c r="C15" s="2" t="s">
        <x:v>82</x:v>
      </x:c>
      <x:c r="D15" s="7" t="s">
        <x:v>1</x:v>
      </x:c>
      <x:c r="E15" s="8">
        <x:f>IF(C15="예",1,0)</x:f>
        <x:v>1</x:v>
      </x:c>
      <x:c r="F15" s="3">
        <x:v>0</x:v>
      </x:c>
      <x:c r="G15" s="8">
        <x:f>E15-F15</x:f>
        <x:v>1</x:v>
      </x:c>
    </x:row>
    <x:row r="16" spans="1:7" ht="20" customHeight="1">
      <x:c r="A16" s="9" t="s">
        <x:v>99</x:v>
      </x:c>
      <x:c r="B16" s="9" t="s">
        <x:v>158</x:v>
      </x:c>
      <x:c r="C16" s="2" t="s">
        <x:v>82</x:v>
      </x:c>
      <x:c r="D16" s="9" t="s">
        <x:v>2</x:v>
      </x:c>
      <x:c r="E16" s="8">
        <x:f>IF(C16="예",1,0)</x:f>
        <x:v>1</x:v>
      </x:c>
      <x:c r="F16" s="3">
        <x:v>1</x:v>
      </x:c>
      <x:c r="G16" s="8">
        <x:f>E16-F16</x:f>
        <x:v>0</x:v>
      </x:c>
    </x:row>
    <x:row r="17" spans="1:7" ht="20" customHeight="1">
      <x:c r="A17" s="7" t="s">
        <x:v>100</x:v>
      </x:c>
      <x:c r="B17" s="7" t="s">
        <x:v>159</x:v>
      </x:c>
      <x:c r="C17" s="2" t="s">
        <x:v>82</x:v>
      </x:c>
      <x:c r="D17" s="7" t="s">
        <x:v>4</x:v>
      </x:c>
      <x:c r="E17" s="8">
        <x:f>IF(C17="예",1,0)</x:f>
        <x:v>1</x:v>
      </x:c>
      <x:c r="F17" s="3">
        <x:v>0</x:v>
      </x:c>
      <x:c r="G17" s="8">
        <x:f>E17-F17</x:f>
        <x:v>1</x:v>
      </x:c>
    </x:row>
    <x:row r="18" spans="1:7" ht="20" customHeight="1">
      <x:c r="A18" s="9" t="s">
        <x:v>101</x:v>
      </x:c>
      <x:c r="B18" s="9" t="s">
        <x:v>157</x:v>
      </x:c>
      <x:c r="C18" s="2" t="s">
        <x:v>82</x:v>
      </x:c>
      <x:c r="D18" s="9" t="s">
        <x:v>5</x:v>
      </x:c>
      <x:c r="E18" s="8">
        <x:f>IF(C18="예",1,0)</x:f>
        <x:v>1</x:v>
      </x:c>
      <x:c r="F18" s="3">
        <x:v>1</x:v>
      </x:c>
      <x:c r="G18" s="8">
        <x:f>E18-F18</x:f>
        <x:v>0</x:v>
      </x:c>
    </x:row>
    <x:row r="19" spans="1:7" ht="20" customHeight="1">
      <x:c r="A19" s="7" t="s">
        <x:v>104</x:v>
      </x:c>
      <x:c r="B19" s="7" t="s">
        <x:v>156</x:v>
      </x:c>
      <x:c r="C19" s="2" t="s">
        <x:v>82</x:v>
      </x:c>
      <x:c r="D19" s="7" t="s">
        <x:v>3</x:v>
      </x:c>
      <x:c r="E19" s="8">
        <x:f>IF(C19="예",1,0)</x:f>
        <x:v>1</x:v>
      </x:c>
      <x:c r="F19" s="3">
        <x:v>0</x:v>
      </x:c>
      <x:c r="G19" s="8">
        <x:f>E19-F19</x:f>
        <x:v>1</x:v>
      </x:c>
    </x:row>
    <x:row r="20" spans="1:7" ht="20" customHeight="1">
      <x:c r="A20" s="9" t="s">
        <x:v>102</x:v>
      </x:c>
      <x:c r="B20" s="9" t="s">
        <x:v>160</x:v>
      </x:c>
      <x:c r="C20" s="2" t="s">
        <x:v>82</x:v>
      </x:c>
      <x:c r="D20" s="9" t="s">
        <x:v>199</x:v>
      </x:c>
      <x:c r="E20" s="8">
        <x:f>IF(C20="예",1,0)</x:f>
        <x:v>1</x:v>
      </x:c>
      <x:c r="F20" s="3">
        <x:v>2</x:v>
      </x:c>
      <x:c r="G20" s="8">
        <x:f>E20-F20</x:f>
        <x:v>-1</x:v>
      </x:c>
    </x:row>
    <x:row r="21" spans="1:7" ht="20" customHeight="1">
      <x:c r="A21" s="7" t="s">
        <x:v>95</x:v>
      </x:c>
      <x:c r="B21" s="7" t="s">
        <x:v>166</x:v>
      </x:c>
      <x:c r="C21" s="2" t="s">
        <x:v>82</x:v>
      </x:c>
      <x:c r="D21" s="7" t="s">
        <x:v>200</x:v>
      </x:c>
      <x:c r="E21" s="8">
        <x:f>IF(C21="예",1,0)</x:f>
        <x:v>1</x:v>
      </x:c>
      <x:c r="F21" s="3">
        <x:v>0</x:v>
      </x:c>
      <x:c r="G21" s="8">
        <x:f>E21-F21</x:f>
        <x:v>1</x:v>
      </x:c>
    </x:row>
    <x:row r="22" spans="1:7" ht="20" customHeight="1">
      <x:c r="A22" s="9" t="s">
        <x:v>96</x:v>
      </x:c>
      <x:c r="B22" s="9" t="s">
        <x:v>162</x:v>
      </x:c>
      <x:c r="C22" s="2" t="s">
        <x:v>82</x:v>
      </x:c>
      <x:c r="D22" s="9" t="s">
        <x:v>201</x:v>
      </x:c>
      <x:c r="E22" s="8">
        <x:f>IF(C22="예",1,0)</x:f>
        <x:v>1</x:v>
      </x:c>
      <x:c r="F22" s="3">
        <x:v>0</x:v>
      </x:c>
      <x:c r="G22" s="8">
        <x:f>E22-F22</x:f>
        <x:v>1</x:v>
      </x:c>
    </x:row>
    <x:row r="23" spans="1:7" ht="20" customHeight="1">
      <x:c r="A23" s="7" t="s">
        <x:v>97</x:v>
      </x:c>
      <x:c r="B23" s="7" t="s">
        <x:v>161</x:v>
      </x:c>
      <x:c r="C23" s="2" t="s">
        <x:v>82</x:v>
      </x:c>
      <x:c r="D23" s="7" t="s">
        <x:v>202</x:v>
      </x:c>
      <x:c r="E23" s="8">
        <x:f>IF(C23="예",1,0)</x:f>
        <x:v>1</x:v>
      </x:c>
      <x:c r="F23" s="3">
        <x:v>0</x:v>
      </x:c>
      <x:c r="G23" s="8">
        <x:f>E23-F23</x:f>
        <x:v>1</x:v>
      </x:c>
    </x:row>
    <x:row r="24" spans="1:7" ht="20" customHeight="1">
      <x:c r="A24" s="9" t="s">
        <x:v>76</x:v>
      </x:c>
      <x:c r="B24" s="9" t="s">
        <x:v>164</x:v>
      </x:c>
      <x:c r="C24" s="2" t="s">
        <x:v>82</x:v>
      </x:c>
      <x:c r="D24" s="9" t="s">
        <x:v>196</x:v>
      </x:c>
      <x:c r="E24" s="8">
        <x:f>IF(C24="예",1,0)</x:f>
        <x:v>1</x:v>
      </x:c>
      <x:c r="F24" s="3">
        <x:v>0</x:v>
      </x:c>
      <x:c r="G24" s="8">
        <x:f>E24-F24</x:f>
        <x:v>1</x:v>
      </x:c>
    </x:row>
    <x:row r="25" spans="1:7" ht="20" customHeight="1">
      <x:c r="A25" s="7" t="s">
        <x:v>79</x:v>
      </x:c>
      <x:c r="B25" s="7" t="s">
        <x:v>163</x:v>
      </x:c>
      <x:c r="C25" s="2" t="s">
        <x:v>82</x:v>
      </x:c>
      <x:c r="D25" s="7" t="s">
        <x:v>197</x:v>
      </x:c>
      <x:c r="E25" s="8">
        <x:f>IF(C25="예",1,0)</x:f>
        <x:v>1</x:v>
      </x:c>
      <x:c r="F25" s="3">
        <x:v>0</x:v>
      </x:c>
      <x:c r="G25" s="8">
        <x:f>E25-F25</x:f>
        <x:v>1</x:v>
      </x:c>
    </x:row>
    <x:row r="26" spans="1:7" ht="20" customHeight="1">
      <x:c r="A26" s="9" t="s">
        <x:v>80</x:v>
      </x:c>
      <x:c r="B26" s="9" t="s">
        <x:v>165</x:v>
      </x:c>
      <x:c r="C26" s="9" t="s">
        <x:v>82</x:v>
      </x:c>
      <x:c r="D26" s="9" t="s">
        <x:v>198</x:v>
      </x:c>
      <x:c r="E26" s="8">
        <x:v>0</x:v>
      </x:c>
      <x:c r="F26" s="9" t="s">
        <x:v>10</x:v>
      </x:c>
      <x:c r="G26" s="8">
        <x:v>0</x:v>
      </x:c>
    </x:row>
    <x:row r="27" spans="1:7" ht="22" customHeight="1">
      <x:c r="A27" s="50" t="s">
        <x:v>190</x:v>
      </x:c>
      <x:c r="B27" s="51"/>
      <x:c r="C27" s="51"/>
      <x:c r="D27" s="51"/>
      <x:c r="E27" s="8">
        <x:f>SUM(E15:E25)</x:f>
        <x:v>11</x:v>
      </x:c>
      <x:c r="F27" s="8">
        <x:f>SUM(F15:F25)</x:f>
        <x:v>4</x:v>
      </x:c>
      <x:c r="G27" s="8">
        <x:f>SUM(G15:G25)</x:f>
        <x:v>7</x:v>
      </x:c>
    </x:row>
    <x:row r="29" spans="1:7" ht="25" customHeight="1">
      <x:c r="A29" s="48" t="s">
        <x:v>182</x:v>
      </x:c>
      <x:c r="B29" s="48"/>
      <x:c r="C29" s="48"/>
      <x:c r="D29" s="48"/>
      <x:c r="E29" s="48"/>
      <x:c r="F29" s="48"/>
      <x:c r="G29" s="48"/>
    </x:row>
    <x:row r="30" spans="1:7" ht="25" customHeight="1">
      <x:c r="A30" s="6" t="s">
        <x:v>8</x:v>
      </x:c>
      <x:c r="B30" s="6" t="s">
        <x:v>86</x:v>
      </x:c>
      <x:c r="C30" s="6" t="s">
        <x:v>84</x:v>
      </x:c>
      <x:c r="D30" s="6" t="s">
        <x:v>78</x:v>
      </x:c>
      <x:c r="E30" s="6" t="s">
        <x:v>81</x:v>
      </x:c>
      <x:c r="F30" s="6" t="s">
        <x:v>169</x:v>
      </x:c>
      <x:c r="G30" s="6" t="s">
        <x:v>170</x:v>
      </x:c>
    </x:row>
    <x:row r="31" spans="1:7" ht="22" customHeight="1">
      <x:c r="A31" s="10" t="s">
        <x:v>77</x:v>
      </x:c>
      <x:c r="B31" s="11" t="s">
        <x:v>63</x:v>
      </x:c>
      <x:c r="C31" s="11" t="s">
        <x:v>171</x:v>
      </x:c>
      <x:c r="D31" s="12">
        <x:v>5</x:v>
      </x:c>
      <x:c r="E31" s="12">
        <x:v>365</x:v>
      </x:c>
      <x:c r="F31" s="13">
        <x:f>ROUND(IF(B7="상시근무자",15,12)*D31/E31,2)</x:f>
        <x:v>0.20999999999999999</x:v>
      </x:c>
      <x:c r="G31" s="14" t="s">
        <x:v>194</x:v>
      </x:c>
    </x:row>
    <x:row r="32" spans="1:7" ht="22" customHeight="1">
      <x:c r="A32" s="50" t="s">
        <x:v>87</x:v>
      </x:c>
      <x:c r="B32" s="51"/>
      <x:c r="C32" s="51"/>
      <x:c r="D32" s="15" t="s">
        <x:v>191</x:v>
      </x:c>
      <x:c r="E32" s="16">
        <x:v>0</x:v>
      </x:c>
      <x:c r="F32" s="15" t="s">
        <x:v>189</x:v>
      </x:c>
      <x:c r="G32" s="13">
        <x:f>F31-E32</x:f>
        <x:v>0.20999999999999999</x:v>
      </x:c>
    </x:row>
    <x:row r="34" spans="1:7" ht="25" customHeight="1">
      <x:c r="A34" s="52" t="s">
        <x:v>180</x:v>
      </x:c>
      <x:c r="B34" s="52"/>
      <x:c r="C34" s="52"/>
      <x:c r="D34" s="52"/>
      <x:c r="E34" s="52"/>
      <x:c r="F34" s="52"/>
      <x:c r="G34" s="52"/>
    </x:row>
    <x:row r="35" spans="1:7" ht="22" customHeight="1">
      <x:c r="A35" s="17" t="s">
        <x:v>167</x:v>
      </x:c>
      <x:c r="B35" s="18">
        <x:f>G27</x:f>
        <x:v>7</x:v>
      </x:c>
      <x:c r="C35" s="19" t="s">
        <x:v>179</x:v>
      </x:c>
      <x:c r="D35" s="49" t="s">
        <x:v>176</x:v>
      </x:c>
      <x:c r="E35" s="43"/>
      <x:c r="F35" s="43"/>
      <x:c r="G35" s="44"/>
    </x:row>
    <x:row r="36" spans="1:7" ht="22" customHeight="1">
      <x:c r="A36" s="17" t="s">
        <x:v>88</x:v>
      </x:c>
      <x:c r="B36" s="20">
        <x:f>G32</x:f>
        <x:v>0.20999999999999999</x:v>
      </x:c>
      <x:c r="C36" s="19" t="s">
        <x:v>179</x:v>
      </x:c>
      <x:c r="D36" s="49" t="s">
        <x:v>177</x:v>
      </x:c>
      <x:c r="E36" s="43"/>
      <x:c r="F36" s="43"/>
      <x:c r="G36" s="44"/>
    </x:row>
    <x:row r="37" spans="1:7" ht="22" customHeight="1">
      <x:c r="A37" s="17" t="s">
        <x:v>207</x:v>
      </x:c>
      <x:c r="B37" s="20">
        <x:f>B35+B36</x:f>
        <x:v>7.21</x:v>
      </x:c>
      <x:c r="C37" s="19" t="s">
        <x:v>179</x:v>
      </x:c>
      <x:c r="D37" s="49" t="s">
        <x:v>178</x:v>
      </x:c>
      <x:c r="E37" s="43"/>
      <x:c r="F37" s="43"/>
      <x:c r="G37" s="44"/>
    </x:row>
    <x:row r="38" spans="1:7" ht="22" customHeight="1">
      <x:c r="A38" s="17" t="s">
        <x:v>168</x:v>
      </x:c>
      <x:c r="B38" s="21">
        <x:f>B11</x:f>
        <x:v>104000</x:v>
      </x:c>
      <x:c r="C38" s="19" t="s">
        <x:v>83</x:v>
      </x:c>
      <x:c r="D38" s="49" t="s">
        <x:v>185</x:v>
      </x:c>
      <x:c r="E38" s="43"/>
      <x:c r="F38" s="43"/>
      <x:c r="G38" s="44"/>
    </x:row>
    <x:row r="39" spans="1:7" ht="22" customHeight="1">
      <x:c r="A39" s="22" t="s">
        <x:v>206</x:v>
      </x:c>
      <x:c r="B39" s="23">
        <x:f>ROUND(B37*B38,0)</x:f>
        <x:v>749840</x:v>
      </x:c>
      <x:c r="C39" s="24" t="s">
        <x:v>83</x:v>
      </x:c>
      <x:c r="D39" s="45" t="s">
        <x:v>173</x:v>
      </x:c>
      <x:c r="E39" s="46"/>
      <x:c r="F39" s="46"/>
      <x:c r="G39" s="47"/>
    </x:row>
    <x:row r="41" spans="1:7" ht="25" customHeight="1">
      <x:c r="A41" s="48" t="s">
        <x:v>174</x:v>
      </x:c>
      <x:c r="B41" s="48"/>
      <x:c r="C41" s="48"/>
      <x:c r="D41" s="48"/>
      <x:c r="E41" s="48"/>
      <x:c r="F41" s="48"/>
      <x:c r="G41" s="48"/>
    </x:row>
    <x:row r="42" spans="1:7" ht="22" customHeight="1">
      <x:c r="A42" s="17" t="s">
        <x:v>93</x:v>
      </x:c>
      <x:c r="B42" s="25" t="s">
        <x:v>82</x:v>
      </x:c>
      <x:c r="C42" s="19" t="s">
        <x:v>85</x:v>
      </x:c>
      <x:c r="D42" s="49" t="s">
        <x:v>91</x:v>
      </x:c>
      <x:c r="E42" s="43"/>
      <x:c r="F42" s="43"/>
      <x:c r="G42" s="44"/>
    </x:row>
    <x:row r="43" spans="1:7" ht="22" customHeight="1">
      <x:c r="A43" s="17" t="s">
        <x:v>208</x:v>
      </x:c>
      <x:c r="B43" s="18">
        <x:f>IF(B7="상시근무자",15,12)</x:f>
        <x:v>15</x:v>
      </x:c>
      <x:c r="C43" s="19" t="s">
        <x:v>179</x:v>
      </x:c>
      <x:c r="D43" s="49" t="s">
        <x:v>64</x:v>
      </x:c>
      <x:c r="E43" s="43"/>
      <x:c r="F43" s="43"/>
      <x:c r="G43" s="44"/>
    </x:row>
    <x:row r="44" spans="1:7" ht="22" customHeight="1">
      <x:c r="A44" s="17" t="s">
        <x:v>195</x:v>
      </x:c>
      <x:c r="B44" s="26">
        <x:v>12</x:v>
      </x:c>
      <x:c r="C44" s="19" t="s">
        <x:v>179</x:v>
      </x:c>
      <x:c r="D44" s="49" t="s">
        <x:v>90</x:v>
      </x:c>
      <x:c r="E44" s="43"/>
      <x:c r="F44" s="43"/>
      <x:c r="G44" s="44"/>
    </x:row>
    <x:row r="45" spans="1:7" ht="22" customHeight="1">
      <x:c r="A45" s="17" t="s">
        <x:v>183</x:v>
      </x:c>
      <x:c r="B45" s="18">
        <x:f>IF(B42="예",B43,B44)</x:f>
        <x:v>15</x:v>
      </x:c>
      <x:c r="C45" s="19" t="s">
        <x:v>179</x:v>
      </x:c>
      <x:c r="D45" s="49" t="s">
        <x:v>35</x:v>
      </x:c>
      <x:c r="E45" s="43"/>
      <x:c r="F45" s="43"/>
      <x:c r="G45" s="44"/>
    </x:row>
  </x:sheetData>
  <x:mergeCells count="25">
    <x:mergeCell ref="A1:G1"/>
    <x:mergeCell ref="A2:G2"/>
    <x:mergeCell ref="A4:C4"/>
    <x:mergeCell ref="C5:G5"/>
    <x:mergeCell ref="C6:G6"/>
    <x:mergeCell ref="C7:G7"/>
    <x:mergeCell ref="C8:G8"/>
    <x:mergeCell ref="C9:G9"/>
    <x:mergeCell ref="C10:G10"/>
    <x:mergeCell ref="C11:G11"/>
    <x:mergeCell ref="A13:G13"/>
    <x:mergeCell ref="A27:D27"/>
    <x:mergeCell ref="A29:G29"/>
    <x:mergeCell ref="A32:C32"/>
    <x:mergeCell ref="A34:G34"/>
    <x:mergeCell ref="D35:G35"/>
    <x:mergeCell ref="D36:G36"/>
    <x:mergeCell ref="D37:G37"/>
    <x:mergeCell ref="D38:G38"/>
    <x:mergeCell ref="D39:G39"/>
    <x:mergeCell ref="A41:G41"/>
    <x:mergeCell ref="D42:G42"/>
    <x:mergeCell ref="D43:G43"/>
    <x:mergeCell ref="D44:G44"/>
    <x:mergeCell ref="D45:G45"/>
  </x:mergeCells>
  <x:dataValidations count="2">
    <x:dataValidation type="list" allowBlank="1" sqref="B42:B42 C15:C15 C16:C16 C17:C17 C18:C18 C19:C19 C20:C20 C21:C21 C22:C22 C23:C23 C24:C24 C25:C25">
      <x:formula1>"예,아니오"</x:formula1>
    </x:dataValidation>
    <x:dataValidation type="list" allowBlank="1" sqref="B7:B7">
      <x:formula1>"상시근무자,방학중 비근무자"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T21"/>
  <x:sheetViews>
    <x:sheetView showGridLines="0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1" width="18" customWidth="1"/>
    <x:col min="2" max="5" width="12" customWidth="1"/>
    <x:col min="6" max="6" width="18" customWidth="1"/>
    <x:col min="7" max="7" width="12" customWidth="1"/>
    <x:col min="8" max="8" width="18" customWidth="1"/>
    <x:col min="9" max="9" width="12" customWidth="1"/>
    <x:col min="10" max="10" width="18" customWidth="1"/>
    <x:col min="11" max="18" width="12" customWidth="1"/>
    <x:col min="19" max="20" width="18" customWidth="1"/>
  </x:cols>
  <x:sheetData>
    <x:row r="1" spans="1:20" ht="40" customHeight="1">
      <x:c r="A1" s="53" t="s">
        <x:v>67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</x:row>
    <x:row r="2" spans="1:20">
      <x:c r="A2" s="57" t="s">
        <x:v>66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</x:row>
    <x:row r="4" spans="1:20" ht="25" customHeight="1">
      <x:c r="A4" s="55" t="s">
        <x:v>110</x:v>
      </x:c>
      <x:c r="B4" s="55"/>
      <x:c r="C4" s="55"/>
      <x:c r="D4" s="55"/>
      <x:c r="E4" s="55"/>
      <x:c r="F4" s="55" t="s">
        <x:v>108</x:v>
      </x:c>
      <x:c r="G4" s="55"/>
      <x:c r="H4" s="55"/>
      <x:c r="I4" s="55"/>
      <x:c r="J4" s="55"/>
      <x:c r="K4" s="55"/>
      <x:c r="L4" s="55" t="s">
        <x:v>147</x:v>
      </x:c>
      <x:c r="M4" s="55"/>
      <x:c r="N4" s="55"/>
      <x:c r="O4" s="55"/>
      <x:c r="P4" s="55"/>
      <x:c r="Q4" s="56" t="s">
        <x:v>145</x:v>
      </x:c>
      <x:c r="R4" s="56"/>
      <x:c r="S4" s="56"/>
      <x:c r="T4" s="56"/>
    </x:row>
    <x:row r="5" spans="1:20" ht="35" customHeight="1">
      <x:c r="A5" s="27" t="s">
        <x:v>9</x:v>
      </x:c>
      <x:c r="B5" s="27" t="s">
        <x:v>137</x:v>
      </x:c>
      <x:c r="C5" s="27" t="s">
        <x:v>139</x:v>
      </x:c>
      <x:c r="D5" s="27" t="s">
        <x:v>18</x:v>
      </x:c>
      <x:c r="E5" s="27" t="s">
        <x:v>15</x:v>
      </x:c>
      <x:c r="F5" s="27" t="s">
        <x:v>112</x:v>
      </x:c>
      <x:c r="G5" s="27" t="s">
        <x:v>19</x:v>
      </x:c>
      <x:c r="H5" s="27" t="s">
        <x:v>17</x:v>
      </x:c>
      <x:c r="I5" s="27" t="s">
        <x:v>16</x:v>
      </x:c>
      <x:c r="J5" s="27" t="s">
        <x:v>21</x:v>
      </x:c>
      <x:c r="K5" s="27" t="s">
        <x:v>116</x:v>
      </x:c>
      <x:c r="L5" s="27" t="s">
        <x:v>25</x:v>
      </x:c>
      <x:c r="M5" s="27" t="s">
        <x:v>22</x:v>
      </x:c>
      <x:c r="N5" s="27" t="s">
        <x:v>26</x:v>
      </x:c>
      <x:c r="O5" s="27" t="s">
        <x:v>20</x:v>
      </x:c>
      <x:c r="P5" s="27" t="s">
        <x:v>23</x:v>
      </x:c>
      <x:c r="Q5" s="27" t="s">
        <x:v>24</x:v>
      </x:c>
      <x:c r="R5" s="27" t="s">
        <x:v>27</x:v>
      </x:c>
      <x:c r="S5" s="27" t="s">
        <x:v>32</x:v>
      </x:c>
      <x:c r="T5" s="27" t="s">
        <x:v>33</x:v>
      </x:c>
    </x:row>
    <x:row r="6" spans="1:20" ht="22" customHeight="1">
      <x:c r="A6" s="28" t="s">
        <x:v>31</x:v>
      </x:c>
      <x:c r="B6" s="29" t="s">
        <x:v>28</x:v>
      </x:c>
      <x:c r="C6" s="29" t="s">
        <x:v>34</x:v>
      </x:c>
      <x:c r="D6" s="30">
        <x:v>40</x:v>
      </x:c>
      <x:c r="E6" s="30">
        <x:v>8</x:v>
      </x:c>
      <x:c r="F6" s="29" t="s">
        <x:v>29</x:v>
      </x:c>
      <x:c r="G6" s="30">
        <x:v>1</x:v>
      </x:c>
      <x:c r="H6" s="29" t="s">
        <x:v>82</x:v>
      </x:c>
      <x:c r="I6" s="30">
        <x:v>273</x:v>
      </x:c>
      <x:c r="J6" s="29" t="s">
        <x:v>82</x:v>
      </x:c>
      <x:c r="K6" s="30">
        <x:v>9</x:v>
      </x:c>
      <x:c r="L6" s="31">
        <x:f>IF(G6&lt;1,0,IF(B6="상시근무자",MIN(25,15+IF(G6&gt;=3,1+INT((G6-3)/2),0)),MIN(25,12+IF(G6&gt;=3,1+INT((G6-3)/2),0))))</x:f>
        <x:v>12</x:v>
      </x:c>
      <x:c r="M6" s="13">
        <x:f>IF(J6="아니오",K6,IF(H6="예",ROUND(L6*I6/365,2),L6))</x:f>
        <x:v>8.9800000000000004</x:v>
      </x:c>
      <x:c r="N6" s="32">
        <x:f>M6*E6</x:f>
        <x:v>71.840000000000003</x:v>
      </x:c>
      <x:c r="O6" s="30">
        <x:v>2</x:v>
      </x:c>
      <x:c r="P6" s="30">
        <x:v>4</x:v>
      </x:c>
      <x:c r="Q6" s="13">
        <x:f>M6-O6-(P6/E6)</x:f>
        <x:v>6.4800000000000004</x:v>
      </x:c>
      <x:c r="R6" s="32">
        <x:f>Q6*E6</x:f>
        <x:v>51.840000000000003</x:v>
      </x:c>
      <x:c r="S6" s="33">
        <x:v>11874</x:v>
      </x:c>
      <x:c r="T6" s="5">
        <x:f>ROUND(Q6*E6*S6,0)</x:f>
        <x:v>615548</x:v>
      </x:c>
    </x:row>
    <x:row r="7" spans="1:20" ht="22" customHeight="1">
      <x:c r="A7" s="28" t="s">
        <x:v>30</x:v>
      </x:c>
      <x:c r="B7" s="29" t="s">
        <x:v>28</x:v>
      </x:c>
      <x:c r="C7" s="29" t="s">
        <x:v>34</x:v>
      </x:c>
      <x:c r="D7" s="30">
        <x:v>40</x:v>
      </x:c>
      <x:c r="E7" s="30">
        <x:v>8</x:v>
      </x:c>
      <x:c r="F7" s="29" t="s">
        <x:v>13</x:v>
      </x:c>
      <x:c r="G7" s="30">
        <x:v>4</x:v>
      </x:c>
      <x:c r="H7" s="29" t="s">
        <x:v>55</x:v>
      </x:c>
      <x:c r="I7" s="30">
        <x:v>365</x:v>
      </x:c>
      <x:c r="J7" s="29" t="s">
        <x:v>82</x:v>
      </x:c>
      <x:c r="K7" s="30">
        <x:v>12</x:v>
      </x:c>
      <x:c r="L7" s="31">
        <x:f>IF(G7&lt;1,0,IF(B7="상시근무자",MIN(25,15+IF(G7&gt;=3,1+INT((G7-3)/2),0)),MIN(25,12+IF(G7&gt;=3,1+INT((G7-3)/2),0))))</x:f>
        <x:v>13</x:v>
      </x:c>
      <x:c r="M7" s="13">
        <x:f>IF(J7="아니오",K7,IF(H7="예",ROUND(L7*I7/365,2),L7))</x:f>
        <x:v>13</x:v>
      </x:c>
      <x:c r="N7" s="32">
        <x:f>M7*E7</x:f>
        <x:v>104</x:v>
      </x:c>
      <x:c r="O7" s="30">
        <x:v>5</x:v>
      </x:c>
      <x:c r="P7" s="30">
        <x:v>0</x:v>
      </x:c>
      <x:c r="Q7" s="13">
        <x:f>M7-O7-(P7/E7)</x:f>
        <x:v>8</x:v>
      </x:c>
      <x:c r="R7" s="32">
        <x:f>Q7*E7</x:f>
        <x:v>64</x:v>
      </x:c>
      <x:c r="S7" s="33">
        <x:v>11874</x:v>
      </x:c>
      <x:c r="T7" s="5">
        <x:f>ROUND(Q7*E7*S7,0)</x:f>
        <x:v>759936</x:v>
      </x:c>
    </x:row>
    <x:row r="8" spans="1:20" ht="22" customHeight="1">
      <x:c r="A8" s="28" t="s">
        <x:v>14</x:v>
      </x:c>
      <x:c r="B8" s="29" t="s">
        <x:v>114</x:v>
      </x:c>
      <x:c r="C8" s="29" t="s">
        <x:v>34</x:v>
      </x:c>
      <x:c r="D8" s="30">
        <x:v>40</x:v>
      </x:c>
      <x:c r="E8" s="30">
        <x:v>8</x:v>
      </x:c>
      <x:c r="F8" s="29" t="s">
        <x:v>12</x:v>
      </x:c>
      <x:c r="G8" s="30">
        <x:v>5</x:v>
      </x:c>
      <x:c r="H8" s="29" t="s">
        <x:v>55</x:v>
      </x:c>
      <x:c r="I8" s="30">
        <x:v>365</x:v>
      </x:c>
      <x:c r="J8" s="29" t="s">
        <x:v>82</x:v>
      </x:c>
      <x:c r="K8" s="30">
        <x:v>12</x:v>
      </x:c>
      <x:c r="L8" s="31">
        <x:f>IF(G8&lt;1,0,IF(B8="상시근무자",MIN(25,15+IF(G8&gt;=3,1+INT((G8-3)/2),0)),MIN(25,12+IF(G8&gt;=3,1+INT((G8-3)/2),0))))</x:f>
        <x:v>17</x:v>
      </x:c>
      <x:c r="M8" s="13">
        <x:f>IF(J8="아니오",K8,IF(H8="예",ROUND(L8*I8/365,2),L8))</x:f>
        <x:v>17</x:v>
      </x:c>
      <x:c r="N8" s="32">
        <x:f>M8*E8</x:f>
        <x:v>136</x:v>
      </x:c>
      <x:c r="O8" s="30">
        <x:v>10</x:v>
      </x:c>
      <x:c r="P8" s="30">
        <x:v>2</x:v>
      </x:c>
      <x:c r="Q8" s="13">
        <x:f>M8-O8-(P8/E8)</x:f>
        <x:v>6.75</x:v>
      </x:c>
      <x:c r="R8" s="32">
        <x:f>Q8*E8</x:f>
        <x:v>54</x:v>
      </x:c>
      <x:c r="S8" s="33">
        <x:v>13520</x:v>
      </x:c>
      <x:c r="T8" s="5">
        <x:f>ROUND(Q8*E8*S8,0)</x:f>
        <x:v>730080</x:v>
      </x:c>
    </x:row>
    <x:row r="9" spans="1:20" ht="22" customHeight="1">
      <x:c r="A9" s="28" t="s">
        <x:v>11</x:v>
      </x:c>
      <x:c r="B9" s="29" t="s">
        <x:v>114</x:v>
      </x:c>
      <x:c r="C9" s="29" t="s">
        <x:v>0</x:v>
      </x:c>
      <x:c r="D9" s="30">
        <x:v>30</x:v>
      </x:c>
      <x:c r="E9" s="30">
        <x:v>6</x:v>
      </x:c>
      <x:c r="F9" s="29" t="s">
        <x:v>39</x:v>
      </x:c>
      <x:c r="G9" s="30">
        <x:v>3</x:v>
      </x:c>
      <x:c r="H9" s="29" t="s">
        <x:v>55</x:v>
      </x:c>
      <x:c r="I9" s="30">
        <x:v>365</x:v>
      </x:c>
      <x:c r="J9" s="29" t="s">
        <x:v>82</x:v>
      </x:c>
      <x:c r="K9" s="30">
        <x:v>12</x:v>
      </x:c>
      <x:c r="L9" s="31">
        <x:f>IF(G9&lt;1,0,IF(B9="상시근무자",MIN(25,15+IF(G9&gt;=3,1+INT((G9-3)/2),0)),MIN(25,12+IF(G9&gt;=3,1+INT((G9-3)/2),0))))</x:f>
        <x:v>16</x:v>
      </x:c>
      <x:c r="M9" s="13">
        <x:f>IF(J9="아니오",K9,IF(H9="예",ROUND(L9*I9/365,2),L9))</x:f>
        <x:v>16</x:v>
      </x:c>
      <x:c r="N9" s="32">
        <x:f>M9*E9</x:f>
        <x:v>96</x:v>
      </x:c>
      <x:c r="O9" s="30">
        <x:v>4</x:v>
      </x:c>
      <x:c r="P9" s="30">
        <x:v>0</x:v>
      </x:c>
      <x:c r="Q9" s="13">
        <x:f>M9-O9-(P9/E9)</x:f>
        <x:v>12</x:v>
      </x:c>
      <x:c r="R9" s="32">
        <x:f>Q9*E9</x:f>
        <x:v>72</x:v>
      </x:c>
      <x:c r="S9" s="33">
        <x:v>13968</x:v>
      </x:c>
      <x:c r="T9" s="5">
        <x:f>ROUND(Q9*E9*S9,0)</x:f>
        <x:v>1005696</x:v>
      </x:c>
    </x:row>
    <x:row r="10" spans="1:20" ht="22" customHeight="1">
      <x:c r="A10" s="28" t="s">
        <x:v>40</x:v>
      </x:c>
      <x:c r="B10" s="29" t="s">
        <x:v>114</x:v>
      </x:c>
      <x:c r="C10" s="29" t="s">
        <x:v>53</x:v>
      </x:c>
      <x:c r="D10" s="30">
        <x:v>40</x:v>
      </x:c>
      <x:c r="E10" s="30">
        <x:v>8</x:v>
      </x:c>
      <x:c r="F10" s="29" t="s">
        <x:v>38</x:v>
      </x:c>
      <x:c r="G10" s="30">
        <x:v>2</x:v>
      </x:c>
      <x:c r="H10" s="29" t="s">
        <x:v>55</x:v>
      </x:c>
      <x:c r="I10" s="30">
        <x:v>365</x:v>
      </x:c>
      <x:c r="J10" s="29" t="s">
        <x:v>82</x:v>
      </x:c>
      <x:c r="K10" s="30">
        <x:v>12</x:v>
      </x:c>
      <x:c r="L10" s="31">
        <x:f>IF(G10&lt;1,0,IF(B10="상시근무자",MIN(25,15+IF(G10&gt;=3,1+INT((G10-3)/2),0)),MIN(25,12+IF(G10&gt;=3,1+INT((G10-3)/2),0))))</x:f>
        <x:v>15</x:v>
      </x:c>
      <x:c r="M10" s="13">
        <x:f>IF(J10="아니오",K10,IF(H10="예",ROUND(L10*I10/365,2),L10))</x:f>
        <x:v>15</x:v>
      </x:c>
      <x:c r="N10" s="32">
        <x:f>M10*E10</x:f>
        <x:v>120</x:v>
      </x:c>
      <x:c r="O10" s="30">
        <x:v>0</x:v>
      </x:c>
      <x:c r="P10" s="30">
        <x:v>0</x:v>
      </x:c>
      <x:c r="Q10" s="13">
        <x:f>M10-O10-(P10/E10)</x:f>
        <x:v>15</x:v>
      </x:c>
      <x:c r="R10" s="32">
        <x:f>Q10*E10</x:f>
        <x:v>120</x:v>
      </x:c>
      <x:c r="S10" s="33">
        <x:v>11361</x:v>
      </x:c>
      <x:c r="T10" s="5">
        <x:f>ROUND(Q10*E10*S10,0)</x:f>
        <x:v>1363320</x:v>
      </x:c>
    </x:row>
    <x:row r="11" spans="1:20" ht="22" customHeight="1">
      <x:c r="A11" s="34" t="s">
        <x:v>115</x:v>
      </x:c>
      <x:c r="B11" s="35" t="s">
        <x:v>114</x:v>
      </x:c>
      <x:c r="C11" s="35" t="s">
        <x:v>34</x:v>
      </x:c>
      <x:c r="D11" s="36">
        <x:v>40</x:v>
      </x:c>
      <x:c r="E11" s="36">
        <x:v>8</x:v>
      </x:c>
      <x:c r="F11" s="35" t="s">
        <x:v>36</x:v>
      </x:c>
      <x:c r="G11" s="36">
        <x:v>1</x:v>
      </x:c>
      <x:c r="H11" s="35" t="s">
        <x:v>55</x:v>
      </x:c>
      <x:c r="I11" s="36">
        <x:v>365</x:v>
      </x:c>
      <x:c r="J11" s="35" t="s">
        <x:v>82</x:v>
      </x:c>
      <x:c r="K11" s="36">
        <x:v>12</x:v>
      </x:c>
      <x:c r="L11" s="31">
        <x:f>IF(G11&lt;1,0,IF(B11="상시근무자",MIN(25,15+IF(G11&gt;=3,1+INT((G11-3)/2),0)),MIN(25,12+IF(G11&gt;=3,1+INT((G11-3)/2),0))))</x:f>
        <x:v>15</x:v>
      </x:c>
      <x:c r="M11" s="13">
        <x:f>IF(J11="아니오",K11,IF(H11="예",ROUND(L11*I11/365,2),L11))</x:f>
        <x:v>15</x:v>
      </x:c>
      <x:c r="N11" s="32">
        <x:f>M11*E11</x:f>
        <x:v>120</x:v>
      </x:c>
      <x:c r="O11" s="36">
        <x:v>0</x:v>
      </x:c>
      <x:c r="P11" s="36">
        <x:v>0</x:v>
      </x:c>
      <x:c r="Q11" s="13">
        <x:f>M11-O11-(P11/E11)</x:f>
        <x:v>15</x:v>
      </x:c>
      <x:c r="R11" s="32">
        <x:f>Q11*E11</x:f>
        <x:v>120</x:v>
      </x:c>
      <x:c r="S11" s="37">
        <x:v>10000</x:v>
      </x:c>
      <x:c r="T11" s="5">
        <x:f>ROUND(Q11*E11*S11,0)</x:f>
        <x:v>1200000</x:v>
      </x:c>
    </x:row>
    <x:row r="12" spans="1:20" ht="22" customHeight="1">
      <x:c r="A12" s="34" t="s">
        <x:v>123</x:v>
      </x:c>
      <x:c r="B12" s="35" t="s">
        <x:v>114</x:v>
      </x:c>
      <x:c r="C12" s="35" t="s">
        <x:v>34</x:v>
      </x:c>
      <x:c r="D12" s="36">
        <x:v>40</x:v>
      </x:c>
      <x:c r="E12" s="36">
        <x:v>8</x:v>
      </x:c>
      <x:c r="F12" s="35" t="s">
        <x:v>36</x:v>
      </x:c>
      <x:c r="G12" s="36">
        <x:v>1</x:v>
      </x:c>
      <x:c r="H12" s="35" t="s">
        <x:v>55</x:v>
      </x:c>
      <x:c r="I12" s="36">
        <x:v>365</x:v>
      </x:c>
      <x:c r="J12" s="35" t="s">
        <x:v>82</x:v>
      </x:c>
      <x:c r="K12" s="36">
        <x:v>12</x:v>
      </x:c>
      <x:c r="L12" s="31">
        <x:f>IF(G12&lt;1,0,IF(B12="상시근무자",MIN(25,15+IF(G12&gt;=3,1+INT((G12-3)/2),0)),MIN(25,12+IF(G12&gt;=3,1+INT((G12-3)/2),0))))</x:f>
        <x:v>15</x:v>
      </x:c>
      <x:c r="M12" s="13">
        <x:f>IF(J12="아니오",K12,IF(H12="예",ROUND(L12*I12/365,2),L12))</x:f>
        <x:v>15</x:v>
      </x:c>
      <x:c r="N12" s="32">
        <x:f>M12*E12</x:f>
        <x:v>120</x:v>
      </x:c>
      <x:c r="O12" s="36">
        <x:v>0</x:v>
      </x:c>
      <x:c r="P12" s="36">
        <x:v>0</x:v>
      </x:c>
      <x:c r="Q12" s="13">
        <x:f>M12-O12-(P12/E12)</x:f>
        <x:v>15</x:v>
      </x:c>
      <x:c r="R12" s="32">
        <x:f>Q12*E12</x:f>
        <x:v>120</x:v>
      </x:c>
      <x:c r="S12" s="37">
        <x:v>10000</x:v>
      </x:c>
      <x:c r="T12" s="5">
        <x:f>ROUND(Q12*E12*S12,0)</x:f>
        <x:v>1200000</x:v>
      </x:c>
    </x:row>
    <x:row r="13" spans="1:20" ht="22" customHeight="1">
      <x:c r="A13" s="34" t="s">
        <x:v>124</x:v>
      </x:c>
      <x:c r="B13" s="35" t="s">
        <x:v>114</x:v>
      </x:c>
      <x:c r="C13" s="35" t="s">
        <x:v>34</x:v>
      </x:c>
      <x:c r="D13" s="36">
        <x:v>40</x:v>
      </x:c>
      <x:c r="E13" s="36">
        <x:v>8</x:v>
      </x:c>
      <x:c r="F13" s="35" t="s">
        <x:v>36</x:v>
      </x:c>
      <x:c r="G13" s="36">
        <x:v>1</x:v>
      </x:c>
      <x:c r="H13" s="35" t="s">
        <x:v>55</x:v>
      </x:c>
      <x:c r="I13" s="36">
        <x:v>365</x:v>
      </x:c>
      <x:c r="J13" s="35" t="s">
        <x:v>82</x:v>
      </x:c>
      <x:c r="K13" s="36">
        <x:v>12</x:v>
      </x:c>
      <x:c r="L13" s="31">
        <x:f>IF(G13&lt;1,0,IF(B13="상시근무자",MIN(25,15+IF(G13&gt;=3,1+INT((G13-3)/2),0)),MIN(25,12+IF(G13&gt;=3,1+INT((G13-3)/2),0))))</x:f>
        <x:v>15</x:v>
      </x:c>
      <x:c r="M13" s="13">
        <x:f>IF(J13="아니오",K13,IF(H13="예",ROUND(L13*I13/365,2),L13))</x:f>
        <x:v>15</x:v>
      </x:c>
      <x:c r="N13" s="32">
        <x:f>M13*E13</x:f>
        <x:v>120</x:v>
      </x:c>
      <x:c r="O13" s="36">
        <x:v>0</x:v>
      </x:c>
      <x:c r="P13" s="36">
        <x:v>0</x:v>
      </x:c>
      <x:c r="Q13" s="13">
        <x:f>M13-O13-(P13/E13)</x:f>
        <x:v>15</x:v>
      </x:c>
      <x:c r="R13" s="32">
        <x:f>Q13*E13</x:f>
        <x:v>120</x:v>
      </x:c>
      <x:c r="S13" s="37">
        <x:v>10000</x:v>
      </x:c>
      <x:c r="T13" s="5">
        <x:f>ROUND(Q13*E13*S13,0)</x:f>
        <x:v>1200000</x:v>
      </x:c>
    </x:row>
    <x:row r="14" spans="1:20" ht="22" customHeight="1">
      <x:c r="A14" s="34" t="s">
        <x:v>120</x:v>
      </x:c>
      <x:c r="B14" s="35" t="s">
        <x:v>114</x:v>
      </x:c>
      <x:c r="C14" s="35" t="s">
        <x:v>34</x:v>
      </x:c>
      <x:c r="D14" s="36">
        <x:v>40</x:v>
      </x:c>
      <x:c r="E14" s="36">
        <x:v>8</x:v>
      </x:c>
      <x:c r="F14" s="35" t="s">
        <x:v>36</x:v>
      </x:c>
      <x:c r="G14" s="36">
        <x:v>1</x:v>
      </x:c>
      <x:c r="H14" s="35" t="s">
        <x:v>55</x:v>
      </x:c>
      <x:c r="I14" s="36">
        <x:v>365</x:v>
      </x:c>
      <x:c r="J14" s="35" t="s">
        <x:v>82</x:v>
      </x:c>
      <x:c r="K14" s="36">
        <x:v>12</x:v>
      </x:c>
      <x:c r="L14" s="31">
        <x:f>IF(G14&lt;1,0,IF(B14="상시근무자",MIN(25,15+IF(G14&gt;=3,1+INT((G14-3)/2),0)),MIN(25,12+IF(G14&gt;=3,1+INT((G14-3)/2),0))))</x:f>
        <x:v>15</x:v>
      </x:c>
      <x:c r="M14" s="13">
        <x:f>IF(J14="아니오",K14,IF(H14="예",ROUND(L14*I14/365,2),L14))</x:f>
        <x:v>15</x:v>
      </x:c>
      <x:c r="N14" s="32">
        <x:f>M14*E14</x:f>
        <x:v>120</x:v>
      </x:c>
      <x:c r="O14" s="36">
        <x:v>0</x:v>
      </x:c>
      <x:c r="P14" s="36">
        <x:v>0</x:v>
      </x:c>
      <x:c r="Q14" s="13">
        <x:f>M14-O14-(P14/E14)</x:f>
        <x:v>15</x:v>
      </x:c>
      <x:c r="R14" s="32">
        <x:f>Q14*E14</x:f>
        <x:v>120</x:v>
      </x:c>
      <x:c r="S14" s="37">
        <x:v>10000</x:v>
      </x:c>
      <x:c r="T14" s="5">
        <x:f>ROUND(Q14*E14*S14,0)</x:f>
        <x:v>1200000</x:v>
      </x:c>
    </x:row>
    <x:row r="15" spans="1:20" ht="22" customHeight="1">
      <x:c r="A15" s="34" t="s">
        <x:v>121</x:v>
      </x:c>
      <x:c r="B15" s="35" t="s">
        <x:v>114</x:v>
      </x:c>
      <x:c r="C15" s="35" t="s">
        <x:v>34</x:v>
      </x:c>
      <x:c r="D15" s="36">
        <x:v>40</x:v>
      </x:c>
      <x:c r="E15" s="36">
        <x:v>8</x:v>
      </x:c>
      <x:c r="F15" s="35" t="s">
        <x:v>36</x:v>
      </x:c>
      <x:c r="G15" s="36">
        <x:v>1</x:v>
      </x:c>
      <x:c r="H15" s="35" t="s">
        <x:v>55</x:v>
      </x:c>
      <x:c r="I15" s="36">
        <x:v>365</x:v>
      </x:c>
      <x:c r="J15" s="35" t="s">
        <x:v>82</x:v>
      </x:c>
      <x:c r="K15" s="36">
        <x:v>12</x:v>
      </x:c>
      <x:c r="L15" s="31">
        <x:f>IF(G15&lt;1,0,IF(B15="상시근무자",MIN(25,15+IF(G15&gt;=3,1+INT((G15-3)/2),0)),MIN(25,12+IF(G15&gt;=3,1+INT((G15-3)/2),0))))</x:f>
        <x:v>15</x:v>
      </x:c>
      <x:c r="M15" s="13">
        <x:f>IF(J15="아니오",K15,IF(H15="예",ROUND(L15*I15/365,2),L15))</x:f>
        <x:v>15</x:v>
      </x:c>
      <x:c r="N15" s="32">
        <x:f>M15*E15</x:f>
        <x:v>120</x:v>
      </x:c>
      <x:c r="O15" s="36">
        <x:v>0</x:v>
      </x:c>
      <x:c r="P15" s="36">
        <x:v>0</x:v>
      </x:c>
      <x:c r="Q15" s="13">
        <x:f>M15-O15-(P15/E15)</x:f>
        <x:v>15</x:v>
      </x:c>
      <x:c r="R15" s="32">
        <x:f>Q15*E15</x:f>
        <x:v>120</x:v>
      </x:c>
      <x:c r="S15" s="37">
        <x:v>10000</x:v>
      </x:c>
      <x:c r="T15" s="5">
        <x:f>ROUND(Q15*E15*S15,0)</x:f>
        <x:v>1200000</x:v>
      </x:c>
    </x:row>
    <x:row r="16" spans="1:20" ht="22" customHeight="1">
      <x:c r="A16" s="34" t="s">
        <x:v>119</x:v>
      </x:c>
      <x:c r="B16" s="35" t="s">
        <x:v>114</x:v>
      </x:c>
      <x:c r="C16" s="35" t="s">
        <x:v>34</x:v>
      </x:c>
      <x:c r="D16" s="36">
        <x:v>40</x:v>
      </x:c>
      <x:c r="E16" s="36">
        <x:v>8</x:v>
      </x:c>
      <x:c r="F16" s="35" t="s">
        <x:v>36</x:v>
      </x:c>
      <x:c r="G16" s="36">
        <x:v>1</x:v>
      </x:c>
      <x:c r="H16" s="35" t="s">
        <x:v>55</x:v>
      </x:c>
      <x:c r="I16" s="36">
        <x:v>365</x:v>
      </x:c>
      <x:c r="J16" s="35" t="s">
        <x:v>82</x:v>
      </x:c>
      <x:c r="K16" s="36">
        <x:v>12</x:v>
      </x:c>
      <x:c r="L16" s="31">
        <x:f>IF(G16&lt;1,0,IF(B16="상시근무자",MIN(25,15+IF(G16&gt;=3,1+INT((G16-3)/2),0)),MIN(25,12+IF(G16&gt;=3,1+INT((G16-3)/2),0))))</x:f>
        <x:v>15</x:v>
      </x:c>
      <x:c r="M16" s="13">
        <x:f>IF(J16="아니오",K16,IF(H16="예",ROUND(L16*I16/365,2),L16))</x:f>
        <x:v>15</x:v>
      </x:c>
      <x:c r="N16" s="32">
        <x:f>M16*E16</x:f>
        <x:v>120</x:v>
      </x:c>
      <x:c r="O16" s="36">
        <x:v>0</x:v>
      </x:c>
      <x:c r="P16" s="36">
        <x:v>0</x:v>
      </x:c>
      <x:c r="Q16" s="13">
        <x:f>M16-O16-(P16/E16)</x:f>
        <x:v>15</x:v>
      </x:c>
      <x:c r="R16" s="32">
        <x:f>Q16*E16</x:f>
        <x:v>120</x:v>
      </x:c>
      <x:c r="S16" s="37">
        <x:v>10000</x:v>
      </x:c>
      <x:c r="T16" s="5">
        <x:f>ROUND(Q16*E16*S16,0)</x:f>
        <x:v>1200000</x:v>
      </x:c>
    </x:row>
    <x:row r="17" spans="1:20" ht="22" customHeight="1">
      <x:c r="A17" s="34" t="s">
        <x:v>118</x:v>
      </x:c>
      <x:c r="B17" s="35" t="s">
        <x:v>114</x:v>
      </x:c>
      <x:c r="C17" s="35" t="s">
        <x:v>34</x:v>
      </x:c>
      <x:c r="D17" s="36">
        <x:v>40</x:v>
      </x:c>
      <x:c r="E17" s="36">
        <x:v>8</x:v>
      </x:c>
      <x:c r="F17" s="35" t="s">
        <x:v>36</x:v>
      </x:c>
      <x:c r="G17" s="36">
        <x:v>1</x:v>
      </x:c>
      <x:c r="H17" s="35" t="s">
        <x:v>55</x:v>
      </x:c>
      <x:c r="I17" s="36">
        <x:v>365</x:v>
      </x:c>
      <x:c r="J17" s="35" t="s">
        <x:v>82</x:v>
      </x:c>
      <x:c r="K17" s="36">
        <x:v>12</x:v>
      </x:c>
      <x:c r="L17" s="31">
        <x:f>IF(G17&lt;1,0,IF(B17="상시근무자",MIN(25,15+IF(G17&gt;=3,1+INT((G17-3)/2),0)),MIN(25,12+IF(G17&gt;=3,1+INT((G17-3)/2),0))))</x:f>
        <x:v>15</x:v>
      </x:c>
      <x:c r="M17" s="13">
        <x:f>IF(J17="아니오",K17,IF(H17="예",ROUND(L17*I17/365,2),L17))</x:f>
        <x:v>15</x:v>
      </x:c>
      <x:c r="N17" s="32">
        <x:f>M17*E17</x:f>
        <x:v>120</x:v>
      </x:c>
      <x:c r="O17" s="36">
        <x:v>0</x:v>
      </x:c>
      <x:c r="P17" s="36">
        <x:v>0</x:v>
      </x:c>
      <x:c r="Q17" s="13">
        <x:f>M17-O17-(P17/E17)</x:f>
        <x:v>15</x:v>
      </x:c>
      <x:c r="R17" s="32">
        <x:f>Q17*E17</x:f>
        <x:v>120</x:v>
      </x:c>
      <x:c r="S17" s="37">
        <x:v>10000</x:v>
      </x:c>
      <x:c r="T17" s="5">
        <x:f>ROUND(Q17*E17*S17,0)</x:f>
        <x:v>1200000</x:v>
      </x:c>
    </x:row>
    <x:row r="18" spans="1:20" ht="22" customHeight="1">
      <x:c r="A18" s="34" t="s">
        <x:v>125</x:v>
      </x:c>
      <x:c r="B18" s="35" t="s">
        <x:v>114</x:v>
      </x:c>
      <x:c r="C18" s="35" t="s">
        <x:v>34</x:v>
      </x:c>
      <x:c r="D18" s="36">
        <x:v>40</x:v>
      </x:c>
      <x:c r="E18" s="36">
        <x:v>8</x:v>
      </x:c>
      <x:c r="F18" s="35" t="s">
        <x:v>36</x:v>
      </x:c>
      <x:c r="G18" s="36">
        <x:v>1</x:v>
      </x:c>
      <x:c r="H18" s="35" t="s">
        <x:v>55</x:v>
      </x:c>
      <x:c r="I18" s="36">
        <x:v>365</x:v>
      </x:c>
      <x:c r="J18" s="35" t="s">
        <x:v>82</x:v>
      </x:c>
      <x:c r="K18" s="36">
        <x:v>12</x:v>
      </x:c>
      <x:c r="L18" s="31">
        <x:f>IF(G18&lt;1,0,IF(B18="상시근무자",MIN(25,15+IF(G18&gt;=3,1+INT((G18-3)/2),0)),MIN(25,12+IF(G18&gt;=3,1+INT((G18-3)/2),0))))</x:f>
        <x:v>15</x:v>
      </x:c>
      <x:c r="M18" s="13">
        <x:f>IF(J18="아니오",K18,IF(H18="예",ROUND(L18*I18/365,2),L18))</x:f>
        <x:v>15</x:v>
      </x:c>
      <x:c r="N18" s="32">
        <x:f>M18*E18</x:f>
        <x:v>120</x:v>
      </x:c>
      <x:c r="O18" s="36">
        <x:v>0</x:v>
      </x:c>
      <x:c r="P18" s="36">
        <x:v>0</x:v>
      </x:c>
      <x:c r="Q18" s="13">
        <x:f>M18-O18-(P18/E18)</x:f>
        <x:v>15</x:v>
      </x:c>
      <x:c r="R18" s="32">
        <x:f>Q18*E18</x:f>
        <x:v>120</x:v>
      </x:c>
      <x:c r="S18" s="37">
        <x:v>10000</x:v>
      </x:c>
      <x:c r="T18" s="5">
        <x:f>ROUND(Q18*E18*S18,0)</x:f>
        <x:v>1200000</x:v>
      </x:c>
    </x:row>
    <x:row r="19" spans="1:20" ht="22" customHeight="1">
      <x:c r="A19" s="34" t="s">
        <x:v>122</x:v>
      </x:c>
      <x:c r="B19" s="35" t="s">
        <x:v>114</x:v>
      </x:c>
      <x:c r="C19" s="35" t="s">
        <x:v>34</x:v>
      </x:c>
      <x:c r="D19" s="36">
        <x:v>40</x:v>
      </x:c>
      <x:c r="E19" s="36">
        <x:v>8</x:v>
      </x:c>
      <x:c r="F19" s="35" t="s">
        <x:v>36</x:v>
      </x:c>
      <x:c r="G19" s="36">
        <x:v>1</x:v>
      </x:c>
      <x:c r="H19" s="35" t="s">
        <x:v>55</x:v>
      </x:c>
      <x:c r="I19" s="36">
        <x:v>365</x:v>
      </x:c>
      <x:c r="J19" s="35" t="s">
        <x:v>82</x:v>
      </x:c>
      <x:c r="K19" s="36">
        <x:v>12</x:v>
      </x:c>
      <x:c r="L19" s="31">
        <x:f>IF(G19&lt;1,0,IF(B19="상시근무자",MIN(25,15+IF(G19&gt;=3,1+INT((G19-3)/2),0)),MIN(25,12+IF(G19&gt;=3,1+INT((G19-3)/2),0))))</x:f>
        <x:v>15</x:v>
      </x:c>
      <x:c r="M19" s="13">
        <x:f>IF(J19="아니오",K19,IF(H19="예",ROUND(L19*I19/365,2),L19))</x:f>
        <x:v>15</x:v>
      </x:c>
      <x:c r="N19" s="32">
        <x:f>M19*E19</x:f>
        <x:v>120</x:v>
      </x:c>
      <x:c r="O19" s="36">
        <x:v>0</x:v>
      </x:c>
      <x:c r="P19" s="36">
        <x:v>0</x:v>
      </x:c>
      <x:c r="Q19" s="13">
        <x:f>M19-O19-(P19/E19)</x:f>
        <x:v>15</x:v>
      </x:c>
      <x:c r="R19" s="32">
        <x:f>Q19*E19</x:f>
        <x:v>120</x:v>
      </x:c>
      <x:c r="S19" s="37">
        <x:v>10000</x:v>
      </x:c>
      <x:c r="T19" s="5">
        <x:f>ROUND(Q19*E19*S19,0)</x:f>
        <x:v>1200000</x:v>
      </x:c>
    </x:row>
    <x:row r="20" spans="1:20" ht="22" customHeight="1">
      <x:c r="A20" s="34" t="s">
        <x:v>117</x:v>
      </x:c>
      <x:c r="B20" s="35" t="s">
        <x:v>114</x:v>
      </x:c>
      <x:c r="C20" s="35" t="s">
        <x:v>34</x:v>
      </x:c>
      <x:c r="D20" s="36">
        <x:v>40</x:v>
      </x:c>
      <x:c r="E20" s="36">
        <x:v>8</x:v>
      </x:c>
      <x:c r="F20" s="35" t="s">
        <x:v>36</x:v>
      </x:c>
      <x:c r="G20" s="36">
        <x:v>1</x:v>
      </x:c>
      <x:c r="H20" s="35" t="s">
        <x:v>55</x:v>
      </x:c>
      <x:c r="I20" s="36">
        <x:v>365</x:v>
      </x:c>
      <x:c r="J20" s="35" t="s">
        <x:v>82</x:v>
      </x:c>
      <x:c r="K20" s="36">
        <x:v>12</x:v>
      </x:c>
      <x:c r="L20" s="31">
        <x:f>IF(G20&lt;1,0,IF(B20="상시근무자",MIN(25,15+IF(G20&gt;=3,1+INT((G20-3)/2),0)),MIN(25,12+IF(G20&gt;=3,1+INT((G20-3)/2),0))))</x:f>
        <x:v>15</x:v>
      </x:c>
      <x:c r="M20" s="13">
        <x:f>IF(J20="아니오",K20,IF(H20="예",ROUND(L20*I20/365,2),L20))</x:f>
        <x:v>15</x:v>
      </x:c>
      <x:c r="N20" s="32">
        <x:f>M20*E20</x:f>
        <x:v>120</x:v>
      </x:c>
      <x:c r="O20" s="36">
        <x:v>0</x:v>
      </x:c>
      <x:c r="P20" s="36">
        <x:v>0</x:v>
      </x:c>
      <x:c r="Q20" s="13">
        <x:f>M20-O20-(P20/E20)</x:f>
        <x:v>15</x:v>
      </x:c>
      <x:c r="R20" s="32">
        <x:f>Q20*E20</x:f>
        <x:v>120</x:v>
      </x:c>
      <x:c r="S20" s="37">
        <x:v>10000</x:v>
      </x:c>
      <x:c r="T20" s="5">
        <x:f>ROUND(Q20*E20*S20,0)</x:f>
        <x:v>1200000</x:v>
      </x:c>
    </x:row>
    <x:row r="21" spans="1:20" ht="25" customHeight="1">
      <x:c r="A21" s="50" t="s">
        <x:v>37</x:v>
      </x:c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8">
        <x:f>SUM(L6:L20)</x:f>
        <x:v>223</x:v>
      </x:c>
      <x:c r="M21" s="13">
        <x:f>SUM(M6:M20)</x:f>
        <x:v>219.98000000000002</x:v>
      </x:c>
      <x:c r="N21" s="13">
        <x:f>SUM(N6:N20)</x:f>
        <x:v>1727.8400000000001</x:v>
      </x:c>
      <x:c r="O21" s="8">
        <x:f>SUM(O6:O20)</x:f>
        <x:v>21</x:v>
      </x:c>
      <x:c r="P21" s="8">
        <x:f>SUM(P6:P20)</x:f>
        <x:v>6</x:v>
      </x:c>
      <x:c r="Q21" s="13">
        <x:f>SUM(Q6:Q20)</x:f>
        <x:v>198.23000000000002</x:v>
      </x:c>
      <x:c r="R21" s="13">
        <x:f>SUM(R6:R20)</x:f>
        <x:v>1561.8400000000001</x:v>
      </x:c>
      <x:c r="T21" s="5">
        <x:f>SUM(T6:T20)</x:f>
        <x:v>16474580</x:v>
      </x:c>
    </x:row>
  </x:sheetData>
  <x:mergeCells count="7">
    <x:mergeCell ref="A1:T1"/>
    <x:mergeCell ref="A2:T2"/>
    <x:mergeCell ref="A4:E4"/>
    <x:mergeCell ref="F4:K4"/>
    <x:mergeCell ref="L4:P4"/>
    <x:mergeCell ref="Q4:T4"/>
    <x:mergeCell ref="A21:K21"/>
  </x:mergeCells>
  <x:dataValidations count="2">
    <x:dataValidation type="list" allowBlank="1" sqref="H6:H6 H7:H7 H8:H8 H9:H9 H10:H10 H11:H11 H12:H12 H13:H13 H14:H14 H15:H15 H16:H16 H17:H17 H18:H18 H19:H19 H20:H20 J6:J6 J7:J7 J8:J8 J9:J9 J10:J10 J11:J11 J12:J12 J13:J13 J14:J14 J15:J15 J16:J16 J17:J17 J18:J18 J19:J19 J20:J20">
      <x:formula1>"예,아니오"</x:formula1>
    </x:dataValidation>
    <x:dataValidation type="list" allowBlank="1" sqref="B6:B6 B7:B7 B8:B8 B9:B9 B10:B10 B11:B11 B12:B12 B13:B13 B14:B14 B15:B15 B16:B16 B17:B17 B18:B18 B19:B19 B20:B20">
      <x:formula1>"상시근무자,방학중 비근무자"</x:formula1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23"/>
  <x:sheetViews>
    <x:sheetView showGridLines="0"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1" width="25" customWidth="1"/>
    <x:col min="2" max="7" width="15" customWidth="1"/>
  </x:cols>
  <x:sheetData>
    <x:row r="1" spans="1:7" ht="40" customHeight="1">
      <x:c r="A1" s="53" t="s">
        <x:v>49</x:v>
      </x:c>
      <x:c r="B1" s="53"/>
      <x:c r="C1" s="53"/>
      <x:c r="D1" s="53"/>
      <x:c r="E1" s="53"/>
      <x:c r="F1" s="53"/>
      <x:c r="G1" s="53"/>
    </x:row>
    <x:row r="2" spans="1:7">
      <x:c r="A2" s="54" t="s">
        <x:v>105</x:v>
      </x:c>
      <x:c r="B2" s="54"/>
      <x:c r="C2" s="54"/>
      <x:c r="D2" s="54"/>
      <x:c r="E2" s="54"/>
      <x:c r="F2" s="54"/>
      <x:c r="G2" s="54"/>
    </x:row>
    <x:row r="4" spans="1:7" ht="22" customHeight="1">
      <x:c r="A4" s="48" t="s">
        <x:v>47</x:v>
      </x:c>
      <x:c r="B4" s="48"/>
      <x:c r="C4" s="48"/>
      <x:c r="D4" s="48"/>
      <x:c r="E4" s="48"/>
      <x:c r="F4" s="48"/>
      <x:c r="G4" s="48"/>
    </x:row>
    <x:row r="5" spans="1:7" ht="22" customHeight="1">
      <x:c r="A5" s="38" t="s">
        <x:v>130</x:v>
      </x:c>
      <x:c r="B5" s="38" t="s">
        <x:v>114</x:v>
      </x:c>
      <x:c r="C5" s="38" t="s">
        <x:v>61</x:v>
      </x:c>
      <x:c r="D5" s="38" t="s">
        <x:v>60</x:v>
      </x:c>
      <x:c r="E5" s="38" t="s">
        <x:v>136</x:v>
      </x:c>
      <x:c r="F5" s="38" t="s">
        <x:v>126</x:v>
      </x:c>
      <x:c r="G5" s="38" t="s">
        <x:v>7</x:v>
      </x:c>
    </x:row>
    <x:row r="6" spans="1:7" ht="22" customHeight="1">
      <x:c r="A6" s="7" t="s">
        <x:v>135</x:v>
      </x:c>
      <x:c r="B6" s="39" t="s">
        <x:v>150</x:v>
      </x:c>
      <x:c r="C6" s="39" t="s">
        <x:v>54</x:v>
      </x:c>
      <x:c r="D6" s="7" t="s">
        <x:v>59</x:v>
      </x:c>
      <x:c r="E6" s="7" t="s">
        <x:v>138</x:v>
      </x:c>
      <x:c r="F6" s="7" t="s">
        <x:v>140</x:v>
      </x:c>
      <x:c r="G6" s="7" t="s">
        <x:v>111</x:v>
      </x:c>
    </x:row>
    <x:row r="7" spans="1:7" ht="22" customHeight="1">
      <x:c r="A7" s="9" t="s">
        <x:v>134</x:v>
      </x:c>
      <x:c r="B7" s="40" t="s">
        <x:v>153</x:v>
      </x:c>
      <x:c r="C7" s="40" t="s">
        <x:v>151</x:v>
      </x:c>
      <x:c r="D7" s="9" t="s">
        <x:v>132</x:v>
      </x:c>
      <x:c r="E7" s="9" t="s">
        <x:v>113</x:v>
      </x:c>
      <x:c r="F7" s="9" t="s">
        <x:v>140</x:v>
      </x:c>
      <x:c r="G7" s="9" t="s">
        <x:v>57</x:v>
      </x:c>
    </x:row>
    <x:row r="8" spans="1:7" ht="22" customHeight="1">
      <x:c r="A8" s="7" t="s">
        <x:v>128</x:v>
      </x:c>
      <x:c r="B8" s="39" t="s">
        <x:v>149</x:v>
      </x:c>
      <x:c r="C8" s="39" t="s">
        <x:v>148</x:v>
      </x:c>
      <x:c r="D8" s="7" t="s">
        <x:v>133</x:v>
      </x:c>
      <x:c r="E8" s="7" t="s">
        <x:v>56</x:v>
      </x:c>
      <x:c r="F8" s="7" t="s">
        <x:v>140</x:v>
      </x:c>
      <x:c r="G8" s="7" t="s">
        <x:v>109</x:v>
      </x:c>
    </x:row>
    <x:row r="9" spans="1:7" ht="22" customHeight="1">
      <x:c r="A9" s="9" t="s">
        <x:v>129</x:v>
      </x:c>
      <x:c r="B9" s="40" t="s">
        <x:v>152</x:v>
      </x:c>
      <x:c r="C9" s="40" t="s">
        <x:v>154</x:v>
      </x:c>
      <x:c r="D9" s="9" t="s">
        <x:v>58</x:v>
      </x:c>
      <x:c r="E9" s="9" t="s">
        <x:v>141</x:v>
      </x:c>
      <x:c r="F9" s="9" t="s">
        <x:v>140</x:v>
      </x:c>
      <x:c r="G9" s="9" t="s">
        <x:v>142</x:v>
      </x:c>
    </x:row>
    <x:row r="11" spans="1:7" ht="25" customHeight="1">
      <x:c r="A11" s="61" t="s">
        <x:v>50</x:v>
      </x:c>
      <x:c r="B11" s="61"/>
      <x:c r="C11" s="61"/>
      <x:c r="D11" s="61"/>
      <x:c r="E11" s="61"/>
      <x:c r="F11" s="61"/>
      <x:c r="G11" s="61"/>
    </x:row>
    <x:row r="12" spans="1:7" ht="22" customHeight="1">
      <x:c r="A12" s="19" t="s">
        <x:v>127</x:v>
      </x:c>
      <x:c r="B12" s="59" t="s">
        <x:v>52</x:v>
      </x:c>
      <x:c r="C12" s="60"/>
      <x:c r="D12" s="60"/>
      <x:c r="E12" s="60"/>
      <x:c r="F12" s="60"/>
      <x:c r="G12" s="60"/>
    </x:row>
    <x:row r="13" spans="1:7" ht="22" customHeight="1">
      <x:c r="A13" s="41" t="s">
        <x:v>131</x:v>
      </x:c>
      <x:c r="B13" s="58" t="s">
        <x:v>172</x:v>
      </x:c>
      <x:c r="C13" s="51"/>
      <x:c r="D13" s="51"/>
      <x:c r="E13" s="51"/>
      <x:c r="F13" s="51"/>
      <x:c r="G13" s="51"/>
    </x:row>
    <x:row r="14" spans="1:7" ht="22" customHeight="1">
      <x:c r="A14" s="19" t="s">
        <x:v>41</x:v>
      </x:c>
      <x:c r="B14" s="59" t="s">
        <x:v>65</x:v>
      </x:c>
      <x:c r="C14" s="60"/>
      <x:c r="D14" s="60"/>
      <x:c r="E14" s="60"/>
      <x:c r="F14" s="60"/>
      <x:c r="G14" s="60"/>
    </x:row>
    <x:row r="15" spans="1:7" ht="22" customHeight="1">
      <x:c r="A15" s="41" t="s">
        <x:v>126</x:v>
      </x:c>
      <x:c r="B15" s="58" t="s">
        <x:v>48</x:v>
      </x:c>
      <x:c r="C15" s="51"/>
      <x:c r="D15" s="51"/>
      <x:c r="E15" s="51"/>
      <x:c r="F15" s="51"/>
      <x:c r="G15" s="51"/>
    </x:row>
    <x:row r="17" spans="1:7" ht="25" customHeight="1">
      <x:c r="A17" s="61" t="s">
        <x:v>51</x:v>
      </x:c>
      <x:c r="B17" s="61"/>
      <x:c r="C17" s="61"/>
      <x:c r="D17" s="61"/>
      <x:c r="E17" s="61"/>
      <x:c r="F17" s="61"/>
      <x:c r="G17" s="61"/>
    </x:row>
    <x:row r="18" spans="1:7" ht="22" customHeight="1">
      <x:c r="A18" s="19" t="s">
        <x:v>143</x:v>
      </x:c>
      <x:c r="B18" s="59" t="s">
        <x:v>144</x:v>
      </x:c>
      <x:c r="C18" s="60"/>
      <x:c r="D18" s="60"/>
      <x:c r="E18" s="60"/>
      <x:c r="F18" s="60"/>
      <x:c r="G18" s="60"/>
    </x:row>
    <x:row r="19" spans="1:7" ht="22" customHeight="1">
      <x:c r="A19" s="41" t="s">
        <x:v>44</x:v>
      </x:c>
      <x:c r="B19" s="58" t="s">
        <x:v>106</x:v>
      </x:c>
      <x:c r="C19" s="51"/>
      <x:c r="D19" s="51"/>
      <x:c r="E19" s="51"/>
      <x:c r="F19" s="51"/>
      <x:c r="G19" s="51"/>
    </x:row>
    <x:row r="20" spans="1:7" ht="22" customHeight="1">
      <x:c r="A20" s="19" t="s">
        <x:v>42</x:v>
      </x:c>
      <x:c r="B20" s="59" t="s">
        <x:v>94</x:v>
      </x:c>
      <x:c r="C20" s="60"/>
      <x:c r="D20" s="60"/>
      <x:c r="E20" s="60"/>
      <x:c r="F20" s="60"/>
      <x:c r="G20" s="60"/>
    </x:row>
    <x:row r="21" spans="1:7" ht="22" customHeight="1">
      <x:c r="A21" s="41" t="s">
        <x:v>43</x:v>
      </x:c>
      <x:c r="B21" s="58" t="s">
        <x:v>107</x:v>
      </x:c>
      <x:c r="C21" s="51"/>
      <x:c r="D21" s="51"/>
      <x:c r="E21" s="51"/>
      <x:c r="F21" s="51"/>
      <x:c r="G21" s="51"/>
    </x:row>
    <x:row r="23" spans="1:7" ht="60" customHeight="1">
      <x:c r="A23" s="62" t="s">
        <x:v>89</x:v>
      </x:c>
      <x:c r="B23" s="62"/>
      <x:c r="C23" s="62"/>
      <x:c r="D23" s="62"/>
      <x:c r="E23" s="62"/>
      <x:c r="F23" s="62"/>
      <x:c r="G23" s="62"/>
    </x:row>
  </x:sheetData>
  <x:mergeCells count="14">
    <x:mergeCell ref="A1:G1"/>
    <x:mergeCell ref="A2:G2"/>
    <x:mergeCell ref="A4:G4"/>
    <x:mergeCell ref="A11:G11"/>
    <x:mergeCell ref="B12:G12"/>
    <x:mergeCell ref="B13:G13"/>
    <x:mergeCell ref="B14:G14"/>
    <x:mergeCell ref="B15:G15"/>
    <x:mergeCell ref="A17:G17"/>
    <x:mergeCell ref="B18:G18"/>
    <x:mergeCell ref="B19:G19"/>
    <x:mergeCell ref="B20:G20"/>
    <x:mergeCell ref="B21:G21"/>
    <x:mergeCell ref="A23:G2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중도입사자 연차마스터</vt:lpstr>
      <vt:lpstr>연차수당 계산기 (종합)</vt:lpstr>
      <vt:lpstr>연차 실무 가이드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2026-08-27T09:05:06.000</dcterms:created>
  <dcterms:modified xsi:type="dcterms:W3CDTF">2026-08-27T09:10:08.285</dcterms:modified>
  <cp:version>1200.0100.01</cp:version>
</cp:coreProperties>
</file>