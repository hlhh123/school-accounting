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2_근속재산정\"/>
    </mc:Choice>
  </mc:AlternateContent>
  <x:bookViews>
    <x:workbookView xWindow="0" yWindow="0" windowWidth="28545" windowHeight="11340"/>
  </x:bookViews>
  <x:sheets>
    <x:sheet name="역에 의한 계산" sheetId="1" r:id="rId4"/>
  </x:sheets>
  <x:definedNames>
    <x:definedName name="_xlnm.Print_Area" localSheetId="0">'역에 의한 계산'!$A$1:$N$26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<x:sst xmlns:r="http://schemas.openxmlformats.org/officeDocument/2006/relationships" xmlns:c="http://schemas.openxmlformats.org/drawingml/2006/chart" xmlns:x="http://schemas.openxmlformats.org/spreadsheetml/2006/main" count="116" uniqueCount="16">
  <x:si>
    <x:t>비고</x:t>
  </x:si>
  <x:si>
    <x:t>환산율</x:t>
  </x:si>
  <x:si>
    <x:t>월</x:t>
  </x:si>
  <x:si>
    <x:t>부터</x:t>
  </x:si>
  <x:si>
    <x:t>년</x:t>
  </x:si>
  <x:si>
    <x:t>일</x:t>
  </x:si>
  <x:si>
    <x:t/>
  </x:si>
  <x:si>
    <x:t>까지</x:t>
  </x:si>
  <x:si>
    <x:t xml:space="preserve"> 기산일의 전일로 월이 만료.</x:t>
  </x:si>
  <x:si>
    <x:t>역에 의한 계산(민법 제160조)</x:t>
  </x:si>
  <x:si>
    <x:t>＊노란색부분만 입력을 하세요.</x:t>
  </x:si>
  <x:si>
    <x:t>경 력 계 산</x:t>
  </x:si>
  <x:si>
    <x:t>경 력 합 산</x:t>
  </x:si>
  <x:si>
    <x:t>기     간</x:t>
  </x:si>
  <x:si>
    <x:t>환 산 경 력</x:t>
  </x:si>
  <x:si>
    <x:t>공무원닷컴, https://0muwon.com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</x:si>
</x:sst>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0_ "/>
    <x:numFmt numFmtId="165" formatCode="#,##0_ 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31859c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31859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x:u/>
          <hs:underlineType val="1"/>
          <hs:underlineShape val="solid"/>
          <hs:underline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00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96b3d7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ff99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000000"/>
        <x:bgColor indexed="64"/>
      </x:patternFill>
    </x:fill>
  </x:fills>
  <x:borders count="2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double">
        <x:color auto="1"/>
      </x:top>
      <x:bottom style="double">
        <x:color auto="1"/>
      </x:bottom>
    </x:border>
    <x:border>
      <x:left style="hair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double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double">
        <x:color auto="1"/>
      </x:top>
      <x:bottom style="double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42">
    <x:xf numFmtId="0" fontId="0" fillId="0" borderId="0" xfId="0" applyNumberFormat="1">
      <x:alignment horizontal="general" vertical="center"/>
    </x:xf>
    <x:xf numFmtId="0" fontId="0" fillId="2" borderId="0" xfId="0" applyNumberFormat="1" applyFill="1" applyProtection="1">
      <x:alignment horizontal="general" vertical="center"/>
      <x:protection locked="0"/>
    </x:xf>
    <x:xf numFmtId="0" fontId="0" fillId="3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0" fillId="4" borderId="1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4" borderId="1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4" borderId="2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4" borderId="2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2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2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4" borderId="3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4" borderId="3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4" borderId="4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4" borderId="4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4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4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4" borderId="5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4" borderId="5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4" borderId="6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4" borderId="6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4" borderId="6" xfId="0" applyNumberForma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4" borderId="6" xfId="0" applyNumberForma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5" borderId="7" xfId="0" applyNumberFormat="1" applyFon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5" borderId="7" xfId="0" applyNumberFormat="1" applyFon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5" borderId="7" xfId="0" applyNumberFormat="1" applyFont="1" applyFill="1" applyBorder="1" applyAlignment="1" applyProtection="1" hs:applyExtension="1">
          <x:alignment horizontal="center" vertical="center" wrapText="1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5" borderId="7" xfId="0" applyNumberFormat="1" applyFont="1" applyFill="1" applyBorder="1" applyAlignment="1" applyProtection="1">
          <x:alignment horizontal="center" vertical="center" wrapText="1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5" borderId="7" xfId="0" applyNumberFormat="1" applyFon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5" borderId="7" xfId="0" applyNumberFormat="1" applyFon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8" xfId="0" applyNumberFormat="1" applyFon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8" xfId="0" applyNumberFormat="1" applyFon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2" xfId="0" applyNumberForma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2" xfId="0" applyNumberForma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9" xfId="0" applyNumberForma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9" xfId="0" applyNumberForma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4" xfId="0" applyNumberForma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4" xfId="0" applyNumberForma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NumberForma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NumberForma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6" xfId="0" applyNumberForma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6" xfId="0" applyNumberForma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1" xfId="0" applyNumberFormat="1" applyFill="1" applyBorder="1" applyAlignment="1" applyProtection="1" hs:applyExtension="1">
          <x:alignment horizontal="center" vertical="center"/>
          <x:protection hidden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1" xfId="0" applyNumberFormat="1" applyFill="1" applyBorder="1" applyAlignment="1" applyProtection="1">
          <x:alignment horizontal="center" vertical="center"/>
          <x:protection hidden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ill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ill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NumberFormat="1" applyFont="1" applyFill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NumberFormat="1" applyFont="1" applyFill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0" xfId="1" applyNumberFormat="1" applyFont="1" applyFill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0" xfId="1" applyNumberFormat="1" applyFont="1" applyFill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ill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ill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2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2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2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2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7" borderId="0" xfId="0" applyNumberFormat="1" applyFont="1" applyFill="1" applyAlignment="1" applyProtection="1" hs:applyExtension="1">
          <x:alignment horizontal="right" vertical="center" indent="1"/>
          <x:protection locked="0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10" fillId="7" borderId="0" xfId="0" applyNumberFormat="1" applyFont="1" applyFill="1" applyAlignment="1" applyProtection="1">
          <x:alignment horizontal="right" vertical="center" indent="1"/>
          <x:protection locked="0"/>
        </x:xf>
      </mc:Fallback>
    </mc:AlternateContent>
  </x:cellXfs>
  <x:cellStyles count="2">
    <x:cellStyle name="표준" xfId="0" builtinId="0"/>
    <x:cellStyle name="하이퍼링크" xfId="1" builtinId="8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0muwon.com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26"/>
  <x:sheetViews>
    <x:sheetView tabSelected="1" topLeftCell="A1" zoomScale="70" zoomScaleNormal="85" zoomScaleSheetLayoutView="70" workbookViewId="0">
      <x:selection activeCell="C10" activeCellId="0" sqref="C10:C10"/>
    </x:sheetView>
  </x:sheetViews>
  <x:sheetFormatPr defaultColWidth="9.00390625" defaultRowHeight="16.39999999999999857891"/>
  <x:cols>
    <x:col min="2" max="2" width="1.625" customWidth="1"/>
    <x:col min="3" max="5" width="15.625" customWidth="1"/>
    <x:col min="6" max="11" width="6.625" customWidth="1"/>
    <x:col min="12" max="12" width="26.625" bestFit="1" customWidth="1"/>
    <x:col min="13" max="13" width="1.625" customWidth="1"/>
  </x:cols>
  <x:sheetData>
    <x:row r="1" spans="1:14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spans="1:14" ht="11.09999999999999964473" customHeight="1">
      <x:c r="A2" s="2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"/>
    </x:row>
    <x:row r="3" spans="1:14" ht="39.95000000000000284217" customHeight="1">
      <x:c r="A3" s="2"/>
      <x:c r="B3" s="1"/>
      <x:c r="C3" s="26" t="s">
        <x:v>9</x:v>
      </x:c>
      <x:c r="D3" s="26"/>
      <x:c r="E3" s="26"/>
      <x:c r="F3" s="26"/>
      <x:c r="G3" s="26"/>
      <x:c r="H3" s="26"/>
      <x:c r="I3" s="26"/>
      <x:c r="J3" s="26"/>
      <x:c r="K3" s="26"/>
      <x:c r="L3" s="26"/>
      <x:c r="M3" s="1"/>
      <x:c r="N3" s="2"/>
    </x:row>
    <x:row r="4" spans="1:14">
      <x:c r="A4" s="2"/>
      <x:c r="B4" s="1"/>
      <x:c r="C4" s="27" t="s">
        <x:v>15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1"/>
      <x:c r="N4" s="2"/>
    </x:row>
    <x:row r="5" spans="1:14" ht="11.09999999999999964473" customHeight="1">
      <x:c r="A5" s="2"/>
      <x:c r="B5" s="1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1"/>
      <x:c r="N5" s="2"/>
    </x:row>
    <x:row r="6" spans="1:14" ht="30" customHeight="1">
      <x:c r="A6" s="2"/>
      <x:c r="B6" s="1"/>
      <x:c r="C6" s="29" t="s">
        <x:v>13</x:v>
      </x:c>
      <x:c r="D6" s="30"/>
      <x:c r="E6" s="31" t="s">
        <x:v>1</x:v>
      </x:c>
      <x:c r="F6" s="33" t="s">
        <x:v>11</x:v>
      </x:c>
      <x:c r="G6" s="33"/>
      <x:c r="H6" s="33"/>
      <x:c r="I6" s="34" t="s">
        <x:v>14</x:v>
      </x:c>
      <x:c r="J6" s="35"/>
      <x:c r="K6" s="36"/>
      <x:c r="L6" s="37" t="s">
        <x:v>0</x:v>
      </x:c>
      <x:c r="M6" s="1"/>
      <x:c r="N6" s="2"/>
    </x:row>
    <x:row r="7" spans="1:14" ht="30" customHeight="1">
      <x:c r="A7" s="2"/>
      <x:c r="B7" s="1"/>
      <x:c r="C7" s="22" t="s">
        <x:v>3</x:v>
      </x:c>
      <x:c r="D7" s="23" t="s">
        <x:v>7</x:v>
      </x:c>
      <x:c r="E7" s="32"/>
      <x:c r="F7" s="24" t="s">
        <x:v>4</x:v>
      </x:c>
      <x:c r="G7" s="24" t="s">
        <x:v>2</x:v>
      </x:c>
      <x:c r="H7" s="24" t="s">
        <x:v>5</x:v>
      </x:c>
      <x:c r="I7" s="24" t="s">
        <x:v>4</x:v>
      </x:c>
      <x:c r="J7" s="24" t="s">
        <x:v>2</x:v>
      </x:c>
      <x:c r="K7" s="24" t="s">
        <x:v>5</x:v>
      </x:c>
      <x:c r="L7" s="38"/>
      <x:c r="M7" s="1"/>
      <x:c r="N7" s="2"/>
    </x:row>
    <x:row r="8" spans="1:14" ht="30" customHeight="1">
      <x:c r="A8" s="2"/>
      <x:c r="B8" s="1"/>
      <x:c r="C8" s="39" t="s">
        <x:v>12</x:v>
      </x:c>
      <x:c r="D8" s="39"/>
      <x:c r="E8" s="40"/>
      <x:c r="F8" s="12">
        <x:f>SUM(F9:F23)+QUOTIENT(SUM(G9:G23)+QUOTIENT(SUM(H9:H23),30),12)</x:f>
        <x:v>0</x:v>
      </x:c>
      <x:c r="G8" s="13">
        <x:f>MOD(SUM(G9:G23)+QUOTIENT(SUM(H9:H23),30),12)</x:f>
        <x:v>5</x:v>
      </x:c>
      <x:c r="H8" s="14">
        <x:f>MOD(SUM(H9:H23),30)</x:f>
        <x:v>0</x:v>
      </x:c>
      <x:c r="I8" s="14">
        <x:f>SUM(I9:I23)+QUOTIENT(SUM(J9:J23)+QUOTIENT(SUM(K9:K23),30),12)</x:f>
        <x:v>0</x:v>
      </x:c>
      <x:c r="J8" s="14">
        <x:f>MOD(SUM(J9:J23)+QUOTIENT(SUM(K9:K23),30),12)</x:f>
        <x:v>5</x:v>
      </x:c>
      <x:c r="K8" s="14">
        <x:f>MOD(SUM(K9:K23),30)</x:f>
        <x:v>0</x:v>
      </x:c>
      <x:c r="L8" s="15"/>
      <x:c r="M8" s="1"/>
      <x:c r="N8" s="2"/>
    </x:row>
    <x:row r="9" spans="1:14" ht="45" customHeight="1">
      <x:c r="A9" s="2"/>
      <x:c r="B9" s="1"/>
      <x:c r="C9" s="3">
        <x:v>46022</x:v>
      </x:c>
      <x:c r="D9" s="4">
        <x:v>46172</x:v>
      </x:c>
      <x:c r="E9" s="5">
        <x:v>1</x:v>
      </x:c>
      <x:c r="F9" s="16">
        <x:f t="shared" ref="F9:F23" si="0">IF(OR(ISBLANK(C9),ISBLANK(D9),C9&gt;D9),"",YEAR(D9)-YEAR(C9)+IF(AND(MONTH(C9)=1,DAY(C9)=1,MONTH(D9)=12,DAY(D9)=31),1,0)-IF(D9&lt;DATE(YEAR(D9),MONTH(C9),DAY(C9))-1,1,0))</x:f>
        <x:v>0</x:v>
      </x:c>
      <x:c r="G9" s="16">
        <x:f t="shared" ref="G9:G23" si="1">IF(OR(ISBLANK(C9),ISBLANK(D9),C9&gt;D9),"",MOD(MONTH(D9)-MONTH(C9)+IF(AND(DAY(C9)=1,D9=EOMONTH(D9,0)),1,0)+IF(D9&lt;DATE(YEAR(D9),MONTH(C9),DAY(C9))-1,12,0)-IF(DAY(D9)&lt;DAY(C9)-1,1,0)+IF(AND(D9=EOMONTH(D9,0),DAY(EOMONTH(D9,0))&lt;DAY(C9)-1),1,0),12))</x:f>
        <x:v>5</x:v>
      </x:c>
      <x:c r="H9" s="16">
        <x:f t="shared" ref="H9:H23" si="2">IF(OR(ISBLANK(C9),ISBLANK(D9),C9&gt;D9),"",IF(OR(AND(DAY(C9)=1,D9=EOMONTH(D9,0)),DAY(D9)=DAY(C9)-1,AND(D9=EOMONTH(D9,0),DAY(EOMONTH(D9,0))&lt;DAY(C9)-1)),0,DAY(D9)-IF(DAY(C9)-1&lt;DAY(D9),DAY(C9)-1,0)+IF(AND(DAY(D9)&lt;DAY(C9)-1,DAY(C9)-1&lt;DAY(EOMONTH(D9,-1))),DAY(EOMONTH(D9,-1))-DAY(C9)+1,0)-IF(OR(DAY(C9)+29=DAY(D9),AND(DAY(EOMONTH(D9,-1))=31,DAY(C9)-2=DAY(D9))),1,0)))</x:f>
        <x:v>0</x:v>
      </x:c>
      <x:c r="I9" s="16">
        <x:f t="shared" ref="I9:I23" si="3">IF(ISBLANK(E9),"",TRUNC(F9*E9)+QUOTIENT(TRUNC((F9*E9-TRUNC(F9*E9))*12)+TRUNC(G9*E9)+QUOTIENT(TRUNC(((F9*E9-TRUNC(F9*E9))*12-TRUNC((F9*E9-TRUNC(F9*E9))*12))*30)+TRUNC((G9*E9-TRUNC(G9*E9))*30)+TRUNC(H9*E9),30),12))</x:f>
        <x:v>0</x:v>
      </x:c>
      <x:c r="J9" s="16">
        <x:f t="shared" ref="J9:J23" si="4">IF(ISBLANK(E9),"",MOD(TRUNC((F9*E9-TRUNC(F9*E9))*12)+TRUNC(G9*E9)+QUOTIENT(TRUNC(((F9*E9-TRUNC(F9*E9))*12-TRUNC((F9*E9-TRUNC(F9*E9))*12))*30)+TRUNC((G9*E9-TRUNC(G9*E9))*30)+TRUNC(H9*E9),30),12))</x:f>
        <x:v>5</x:v>
      </x:c>
      <x:c r="K9" s="16">
        <x:f t="shared" ref="K9:K23" si="5">IF(ISBLANK(E9),"",MOD(TRUNC(((F9*E9-TRUNC(F9*E9))*12-TRUNC((F9*E9-TRUNC(F9*E9))*12))*30)+TRUNC((G9*E9-TRUNC(G9*E9))*30)+TRUNC(H9*E9),30))</x:f>
        <x:v>0</x:v>
      </x:c>
      <x:c r="L9" s="17" t="str">
        <x:f t="shared" ref="L9:L23" si="6">IF(OR(ISBLANK(C9),ISBLANK(D9)),"",IF(C9&gt;D9," 입력값을 확인하세요.!",IF(AND(MONTH(C9)=1,DAY(C9)=1,MONTH(D9)=12,DAY(D9)=31)," 만년.",IF(AND(MONTH(C9)=MONTH(D9),DAY(C9)-1=DAY(D9))," 기산월일의 전일로 년이 만료.",IF(OR(AND(MONTH(C9)=1,DAY(C9)=1,MONTH(D9)=12,DAY(D9)=30),AND(MONTH(C9)=1,DAY(C9)=2,MONTH(D9)=12,DAY(D9)=31))," 1월 미달 30일.",IF(AND(DAY(C9)=1,D9=EOMONTH(D9,0))," 만월.",IF(DAY(C9)-1=DAY(D9)," 기산일의 전일로 월이 만료.",IF(AND(D9=EOMONTH(D9,0),DAY(EOMONTH(D9,0))&lt;DAY(C9)-1)," 전일이 없으면 말일로 월이 만료.",IF(OR(DAY(C9)+29=DAY(D9),AND(DAY(EOMONTH(D9,-1))=31,DAY(C9)-2=DAY(D9)))," 1월 미달 30일.",IF(DAY(D9)&lt;DAY(C9)-1,IF(DAY(C9)-1&lt;DAY(EOMONTH(D9,-1))," "&amp;DAY(EOMONTH(D9,-1))-DAY(C9)+1&amp;" + "&amp;DAY(D9)," 0 + "&amp;DAY(D9))," "&amp;DAY(D9)-DAY(C9)+1))))))))))</x:f>
        <x:v xml:space="preserve"> 기산일의 전일로 월이 만료.</x:v>
      </x:c>
      <x:c r="M9" s="1"/>
      <x:c r="N9" s="2"/>
    </x:row>
    <x:row r="10" spans="1:14" ht="45" customHeight="1">
      <x:c r="A10" s="2"/>
      <x:c r="B10" s="1"/>
      <x:c r="C10" s="6"/>
      <x:c r="D10" s="7"/>
      <x:c r="E10" s="8"/>
      <x:c r="F10" s="18" t="str">
        <x:f t="shared" si="0"/>
        <x:v/>
      </x:c>
      <x:c r="G10" s="18" t="str">
        <x:f t="shared" si="1"/>
        <x:v/>
      </x:c>
      <x:c r="H10" s="18" t="str">
        <x:f t="shared" si="2"/>
        <x:v/>
      </x:c>
      <x:c r="I10" s="18" t="str">
        <x:f t="shared" si="3"/>
        <x:v/>
      </x:c>
      <x:c r="J10" s="18" t="str">
        <x:f t="shared" si="4"/>
        <x:v/>
      </x:c>
      <x:c r="K10" s="18" t="str">
        <x:f t="shared" si="5"/>
        <x:v/>
      </x:c>
      <x:c r="L10" s="19" t="str">
        <x:f t="shared" si="6"/>
        <x:v/>
      </x:c>
      <x:c r="M10" s="1"/>
      <x:c r="N10" s="2"/>
    </x:row>
    <x:row r="11" spans="1:14" ht="45" customHeight="1">
      <x:c r="A11" s="2"/>
      <x:c r="B11" s="1"/>
      <x:c r="C11" s="6"/>
      <x:c r="D11" s="7"/>
      <x:c r="E11" s="8"/>
      <x:c r="F11" s="18" t="str">
        <x:f t="shared" si="0"/>
        <x:v/>
      </x:c>
      <x:c r="G11" s="18" t="str">
        <x:f t="shared" si="1"/>
        <x:v/>
      </x:c>
      <x:c r="H11" s="18" t="str">
        <x:f t="shared" si="2"/>
        <x:v/>
      </x:c>
      <x:c r="I11" s="18" t="str">
        <x:f t="shared" si="3"/>
        <x:v/>
      </x:c>
      <x:c r="J11" s="18" t="str">
        <x:f t="shared" si="4"/>
        <x:v/>
      </x:c>
      <x:c r="K11" s="18" t="str">
        <x:f t="shared" si="5"/>
        <x:v/>
      </x:c>
      <x:c r="L11" s="19" t="str">
        <x:f t="shared" si="6"/>
        <x:v/>
      </x:c>
      <x:c r="M11" s="1"/>
      <x:c r="N11" s="2"/>
    </x:row>
    <x:row r="12" spans="1:14" ht="45" customHeight="1">
      <x:c r="A12" s="2"/>
      <x:c r="B12" s="1"/>
      <x:c r="C12" s="6"/>
      <x:c r="D12" s="7"/>
      <x:c r="E12" s="8"/>
      <x:c r="F12" s="18" t="str">
        <x:f t="shared" si="0"/>
        <x:v/>
      </x:c>
      <x:c r="G12" s="18" t="str">
        <x:f t="shared" si="1"/>
        <x:v/>
      </x:c>
      <x:c r="H12" s="18" t="str">
        <x:f t="shared" si="2"/>
        <x:v/>
      </x:c>
      <x:c r="I12" s="18" t="str">
        <x:f t="shared" si="3"/>
        <x:v/>
      </x:c>
      <x:c r="J12" s="18" t="str">
        <x:f t="shared" si="4"/>
        <x:v/>
      </x:c>
      <x:c r="K12" s="18" t="str">
        <x:f t="shared" si="5"/>
        <x:v/>
      </x:c>
      <x:c r="L12" s="19" t="str">
        <x:f t="shared" si="6"/>
        <x:v/>
      </x:c>
      <x:c r="M12" s="1"/>
      <x:c r="N12" s="2"/>
    </x:row>
    <x:row r="13" spans="1:14" ht="45" customHeight="1">
      <x:c r="A13" s="2"/>
      <x:c r="B13" s="1"/>
      <x:c r="C13" s="6"/>
      <x:c r="D13" s="7"/>
      <x:c r="E13" s="8"/>
      <x:c r="F13" s="18" t="str">
        <x:f t="shared" si="0"/>
        <x:v/>
      </x:c>
      <x:c r="G13" s="18" t="str">
        <x:f t="shared" si="1"/>
        <x:v/>
      </x:c>
      <x:c r="H13" s="18" t="str">
        <x:f t="shared" si="2"/>
        <x:v/>
      </x:c>
      <x:c r="I13" s="18" t="str">
        <x:f t="shared" si="3"/>
        <x:v/>
      </x:c>
      <x:c r="J13" s="18" t="str">
        <x:f t="shared" si="4"/>
        <x:v/>
      </x:c>
      <x:c r="K13" s="18" t="str">
        <x:f t="shared" si="5"/>
        <x:v/>
      </x:c>
      <x:c r="L13" s="19" t="str">
        <x:f t="shared" si="6"/>
        <x:v/>
      </x:c>
      <x:c r="M13" s="1"/>
      <x:c r="N13" s="2"/>
    </x:row>
    <x:row r="14" spans="1:14" ht="45" customHeight="1">
      <x:c r="A14" s="2"/>
      <x:c r="B14" s="1"/>
      <x:c r="C14" s="6"/>
      <x:c r="D14" s="7"/>
      <x:c r="E14" s="8"/>
      <x:c r="F14" s="18" t="str">
        <x:f t="shared" si="0"/>
        <x:v/>
      </x:c>
      <x:c r="G14" s="18" t="str">
        <x:f t="shared" si="1"/>
        <x:v/>
      </x:c>
      <x:c r="H14" s="18" t="str">
        <x:f t="shared" si="2"/>
        <x:v/>
      </x:c>
      <x:c r="I14" s="18" t="str">
        <x:f t="shared" si="3"/>
        <x:v/>
      </x:c>
      <x:c r="J14" s="18" t="str">
        <x:f t="shared" si="4"/>
        <x:v/>
      </x:c>
      <x:c r="K14" s="18" t="str">
        <x:f t="shared" si="5"/>
        <x:v/>
      </x:c>
      <x:c r="L14" s="19" t="str">
        <x:f t="shared" si="6"/>
        <x:v/>
      </x:c>
      <x:c r="M14" s="1"/>
      <x:c r="N14" s="2"/>
    </x:row>
    <x:row r="15" spans="1:14" ht="45" customHeight="1">
      <x:c r="A15" s="2"/>
      <x:c r="B15" s="1"/>
      <x:c r="C15" s="6"/>
      <x:c r="D15" s="7"/>
      <x:c r="E15" s="8"/>
      <x:c r="F15" s="18" t="str">
        <x:f t="shared" si="0"/>
        <x:v/>
      </x:c>
      <x:c r="G15" s="18" t="str">
        <x:f t="shared" si="1"/>
        <x:v/>
      </x:c>
      <x:c r="H15" s="18" t="str">
        <x:f t="shared" si="2"/>
        <x:v/>
      </x:c>
      <x:c r="I15" s="18" t="str">
        <x:f t="shared" si="3"/>
        <x:v/>
      </x:c>
      <x:c r="J15" s="18" t="str">
        <x:f t="shared" si="4"/>
        <x:v/>
      </x:c>
      <x:c r="K15" s="18" t="str">
        <x:f t="shared" si="5"/>
        <x:v/>
      </x:c>
      <x:c r="L15" s="19" t="str">
        <x:f t="shared" si="6"/>
        <x:v/>
      </x:c>
      <x:c r="M15" s="1"/>
      <x:c r="N15" s="2"/>
    </x:row>
    <x:row r="16" spans="1:14" ht="45" customHeight="1">
      <x:c r="A16" s="2"/>
      <x:c r="B16" s="1"/>
      <x:c r="C16" s="6"/>
      <x:c r="D16" s="7"/>
      <x:c r="E16" s="8"/>
      <x:c r="F16" s="18" t="str">
        <x:f t="shared" si="0"/>
        <x:v/>
      </x:c>
      <x:c r="G16" s="18" t="str">
        <x:f t="shared" si="1"/>
        <x:v/>
      </x:c>
      <x:c r="H16" s="18" t="str">
        <x:f t="shared" si="2"/>
        <x:v/>
      </x:c>
      <x:c r="I16" s="18" t="str">
        <x:f t="shared" si="3"/>
        <x:v/>
      </x:c>
      <x:c r="J16" s="18" t="str">
        <x:f t="shared" si="4"/>
        <x:v/>
      </x:c>
      <x:c r="K16" s="18" t="str">
        <x:f t="shared" si="5"/>
        <x:v/>
      </x:c>
      <x:c r="L16" s="19" t="str">
        <x:f t="shared" si="6"/>
        <x:v/>
      </x:c>
      <x:c r="M16" s="1"/>
      <x:c r="N16" s="2"/>
    </x:row>
    <x:row r="17" spans="1:14" ht="45" customHeight="1">
      <x:c r="A17" s="2"/>
      <x:c r="B17" s="1"/>
      <x:c r="C17" s="6"/>
      <x:c r="D17" s="7"/>
      <x:c r="E17" s="8"/>
      <x:c r="F17" s="18" t="str">
        <x:f t="shared" si="0"/>
        <x:v/>
      </x:c>
      <x:c r="G17" s="18" t="str">
        <x:f t="shared" si="1"/>
        <x:v/>
      </x:c>
      <x:c r="H17" s="18" t="str">
        <x:f t="shared" si="2"/>
        <x:v/>
      </x:c>
      <x:c r="I17" s="18" t="str">
        <x:f t="shared" si="3"/>
        <x:v/>
      </x:c>
      <x:c r="J17" s="18" t="str">
        <x:f t="shared" si="4"/>
        <x:v/>
      </x:c>
      <x:c r="K17" s="18" t="str">
        <x:f t="shared" si="5"/>
        <x:v/>
      </x:c>
      <x:c r="L17" s="19" t="str">
        <x:f t="shared" si="6"/>
        <x:v/>
      </x:c>
      <x:c r="M17" s="1"/>
      <x:c r="N17" s="2"/>
    </x:row>
    <x:row r="18" spans="1:14" ht="45" customHeight="1">
      <x:c r="A18" s="2"/>
      <x:c r="B18" s="1"/>
      <x:c r="C18" s="6"/>
      <x:c r="D18" s="7"/>
      <x:c r="E18" s="8"/>
      <x:c r="F18" s="18" t="str">
        <x:f t="shared" si="0"/>
        <x:v/>
      </x:c>
      <x:c r="G18" s="18" t="str">
        <x:f t="shared" si="1"/>
        <x:v/>
      </x:c>
      <x:c r="H18" s="18" t="str">
        <x:f t="shared" si="2"/>
        <x:v/>
      </x:c>
      <x:c r="I18" s="18" t="str">
        <x:f t="shared" si="3"/>
        <x:v/>
      </x:c>
      <x:c r="J18" s="18" t="str">
        <x:f t="shared" si="4"/>
        <x:v/>
      </x:c>
      <x:c r="K18" s="18" t="str">
        <x:f t="shared" si="5"/>
        <x:v/>
      </x:c>
      <x:c r="L18" s="19" t="str">
        <x:f t="shared" si="6"/>
        <x:v/>
      </x:c>
      <x:c r="M18" s="1"/>
      <x:c r="N18" s="2"/>
    </x:row>
    <x:row r="19" spans="1:14" ht="45" customHeight="1">
      <x:c r="A19" s="2"/>
      <x:c r="B19" s="1"/>
      <x:c r="C19" s="6"/>
      <x:c r="D19" s="7"/>
      <x:c r="E19" s="8"/>
      <x:c r="F19" s="18" t="str">
        <x:f t="shared" si="0"/>
        <x:v/>
      </x:c>
      <x:c r="G19" s="18" t="str">
        <x:f t="shared" si="1"/>
        <x:v/>
      </x:c>
      <x:c r="H19" s="18" t="str">
        <x:f t="shared" si="2"/>
        <x:v/>
      </x:c>
      <x:c r="I19" s="18" t="str">
        <x:f t="shared" si="3"/>
        <x:v/>
      </x:c>
      <x:c r="J19" s="18" t="str">
        <x:f t="shared" si="4"/>
        <x:v/>
      </x:c>
      <x:c r="K19" s="18" t="str">
        <x:f t="shared" si="5"/>
        <x:v/>
      </x:c>
      <x:c r="L19" s="19" t="str">
        <x:f t="shared" si="6"/>
        <x:v/>
      </x:c>
      <x:c r="M19" s="1"/>
      <x:c r="N19" s="2"/>
    </x:row>
    <x:row r="20" spans="1:14" ht="45" customHeight="1">
      <x:c r="A20" s="2"/>
      <x:c r="B20" s="1"/>
      <x:c r="C20" s="6"/>
      <x:c r="D20" s="7"/>
      <x:c r="E20" s="8"/>
      <x:c r="F20" s="18" t="str">
        <x:f t="shared" si="0"/>
        <x:v/>
      </x:c>
      <x:c r="G20" s="18" t="str">
        <x:f t="shared" si="1"/>
        <x:v/>
      </x:c>
      <x:c r="H20" s="18" t="str">
        <x:f t="shared" si="2"/>
        <x:v/>
      </x:c>
      <x:c r="I20" s="18" t="str">
        <x:f t="shared" si="3"/>
        <x:v/>
      </x:c>
      <x:c r="J20" s="18" t="str">
        <x:f t="shared" si="4"/>
        <x:v/>
      </x:c>
      <x:c r="K20" s="18" t="str">
        <x:f t="shared" si="5"/>
        <x:v/>
      </x:c>
      <x:c r="L20" s="19" t="str">
        <x:f t="shared" si="6"/>
        <x:v/>
      </x:c>
      <x:c r="M20" s="1"/>
      <x:c r="N20" s="2"/>
    </x:row>
    <x:row r="21" spans="1:14" ht="45" customHeight="1">
      <x:c r="A21" s="2"/>
      <x:c r="B21" s="1"/>
      <x:c r="C21" s="6"/>
      <x:c r="D21" s="7"/>
      <x:c r="E21" s="8"/>
      <x:c r="F21" s="18" t="str">
        <x:f t="shared" si="0"/>
        <x:v/>
      </x:c>
      <x:c r="G21" s="18" t="str">
        <x:f t="shared" si="1"/>
        <x:v/>
      </x:c>
      <x:c r="H21" s="18" t="str">
        <x:f t="shared" si="2"/>
        <x:v/>
      </x:c>
      <x:c r="I21" s="18" t="str">
        <x:f t="shared" si="3"/>
        <x:v/>
      </x:c>
      <x:c r="J21" s="18" t="str">
        <x:f t="shared" si="4"/>
        <x:v/>
      </x:c>
      <x:c r="K21" s="18" t="str">
        <x:f t="shared" si="5"/>
        <x:v/>
      </x:c>
      <x:c r="L21" s="19" t="str">
        <x:f t="shared" si="6"/>
        <x:v/>
      </x:c>
      <x:c r="M21" s="1"/>
      <x:c r="N21" s="2"/>
    </x:row>
    <x:row r="22" spans="1:14" ht="45" customHeight="1">
      <x:c r="A22" s="2"/>
      <x:c r="B22" s="1"/>
      <x:c r="C22" s="6"/>
      <x:c r="D22" s="7"/>
      <x:c r="E22" s="8"/>
      <x:c r="F22" s="18" t="str">
        <x:f t="shared" si="0"/>
        <x:v/>
      </x:c>
      <x:c r="G22" s="18" t="str">
        <x:f t="shared" si="1"/>
        <x:v/>
      </x:c>
      <x:c r="H22" s="18" t="str">
        <x:f t="shared" si="2"/>
        <x:v/>
      </x:c>
      <x:c r="I22" s="18" t="str">
        <x:f t="shared" si="3"/>
        <x:v/>
      </x:c>
      <x:c r="J22" s="18" t="str">
        <x:f t="shared" si="4"/>
        <x:v/>
      </x:c>
      <x:c r="K22" s="18" t="str">
        <x:f t="shared" si="5"/>
        <x:v/>
      </x:c>
      <x:c r="L22" s="19" t="str">
        <x:f t="shared" si="6"/>
        <x:v/>
      </x:c>
      <x:c r="M22" s="1"/>
      <x:c r="N22" s="2"/>
    </x:row>
    <x:row r="23" spans="1:14" ht="45" customHeight="1">
      <x:c r="A23" s="2"/>
      <x:c r="B23" s="1"/>
      <x:c r="C23" s="9"/>
      <x:c r="D23" s="10"/>
      <x:c r="E23" s="11"/>
      <x:c r="F23" s="20" t="str">
        <x:f t="shared" si="0"/>
        <x:v/>
      </x:c>
      <x:c r="G23" s="20" t="str">
        <x:f t="shared" si="1"/>
        <x:v/>
      </x:c>
      <x:c r="H23" s="20" t="str">
        <x:f t="shared" si="2"/>
        <x:v/>
      </x:c>
      <x:c r="I23" s="20" t="str">
        <x:f t="shared" si="3"/>
        <x:v/>
      </x:c>
      <x:c r="J23" s="20" t="str">
        <x:f t="shared" si="4"/>
        <x:v/>
      </x:c>
      <x:c r="K23" s="20" t="str">
        <x:f t="shared" si="5"/>
        <x:v/>
      </x:c>
      <x:c r="L23" s="21" t="str">
        <x:f t="shared" si="6"/>
        <x:v/>
      </x:c>
      <x:c r="M23" s="1"/>
      <x:c r="N23" s="2"/>
    </x:row>
    <x:row r="24" spans="1:14" ht="11.09999999999999964473" customHeight="1">
      <x:c r="A24" s="2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"/>
    </x:row>
    <x:row r="25" spans="1:14" ht="17.80000000000000071054">
      <x:c r="A25" s="2"/>
      <x:c r="B25" s="41" t="s">
        <x:v>10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2"/>
    </x:row>
    <x:row r="26" spans="1:14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</x:sheetData>
  <x:sheetProtection password="ccf9" sheet="1" objects="1" scenarios="1" formatCells="1" formatColumns="1" formatRows="1" insertColumns="1" insertRows="1" insertHyperlinks="1" deleteColumns="1" deleteRows="1" selectLockedCells="1" sort="1" autoFilter="1" pivotTables="1" selectUnlockedCells="0"/>
  <x:mergeCells count="12">
    <x:mergeCell ref="B2:M2"/>
    <x:mergeCell ref="C3:L3"/>
    <x:mergeCell ref="C4:L4"/>
    <x:mergeCell ref="C5:L5"/>
    <x:mergeCell ref="C6:D6"/>
    <x:mergeCell ref="E6:E7"/>
    <x:mergeCell ref="F6:H6"/>
    <x:mergeCell ref="I6:K6"/>
    <x:mergeCell ref="L6:L7"/>
    <x:mergeCell ref="C8:E8"/>
    <x:mergeCell ref="B24:M24"/>
    <x:mergeCell ref="B25:M25"/>
  </x:mergeCells>
  <x:dataValidations count="1">
    <x:dataValidation type="date" allowBlank="1" showInputMessage="1" showErrorMessage="1" sqref="C9:D23">
      <x:formula1>1</x:formula1>
      <x:formula2>109939</x:formula2>
    </x:dataValidation>
  </x:dataValidations>
  <x:hyperlinks>
    <x:hyperlink ref="C4:C4" r:id="rId1"/>
    <x:hyperlink ref="C4:L4" r:id="rId1"/>
  </x:hyperlinks>
  <x:pageMargins left="0.69972223043441772461" right="0.69972223043441772461" top="0.75" bottom="0.75" header="0.30000001192092895508" footer="0.30000001192092895508"/>
  <x:pageSetup paperSize="9" scale="59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역에 의한 계산</vt:lpstr>
    </vt:vector>
  </ep:TitlesOfParts>
  <ep:TotalTime>140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15</cp:revision>
  <dcterms:created xsi:type="dcterms:W3CDTF">2018-08-10T04:05:14.000</dcterms:created>
  <dcterms:modified xsi:type="dcterms:W3CDTF">2026-08-27T07:14:23.396</dcterms:modified>
  <cp:version>1200.0100.01</cp:version>
</cp:coreProperties>
</file>