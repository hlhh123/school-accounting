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수도광열비\★ 2025년 징수개선안 내부결재\"/>
    </mc:Choice>
  </mc:AlternateContent>
  <xr:revisionPtr revIDLastSave="0" documentId="13_ncr:1_{A8B874AB-CBED-4951-AF17-69D2F6DE6315}" xr6:coauthVersionLast="47" xr6:coauthVersionMax="47" xr10:uidLastSave="{00000000-0000-0000-0000-000000000000}"/>
  <bookViews>
    <workbookView xWindow="-37440" yWindow="2115" windowWidth="28800" windowHeight="13725" xr2:uid="{00000000-000D-0000-FFFF-FFFF00000000}"/>
  </bookViews>
  <sheets>
    <sheet name="공공요금 계산기" sheetId="5" r:id="rId1"/>
  </sheets>
  <definedNames>
    <definedName name="_xlnm.Print_Area" localSheetId="0">'공공요금 계산기'!$A$1:$AA$27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4" i="5" l="1"/>
  <c r="P24" i="5" l="1"/>
  <c r="M24" i="5"/>
  <c r="J24" i="5"/>
  <c r="F24" i="5" l="1"/>
  <c r="D24" i="5"/>
  <c r="W26" i="5" l="1"/>
</calcChain>
</file>

<file path=xl/sharedStrings.xml><?xml version="1.0" encoding="utf-8"?>
<sst xmlns="http://schemas.openxmlformats.org/spreadsheetml/2006/main" count="69" uniqueCount="57">
  <si>
    <t>[공사명]</t>
    <phoneticPr fontId="5" type="noConversion"/>
  </si>
  <si>
    <t>(단위: %)</t>
    <phoneticPr fontId="5" type="noConversion"/>
  </si>
  <si>
    <t>구분</t>
    <phoneticPr fontId="5" type="noConversion"/>
  </si>
  <si>
    <t>공사종류별</t>
    <phoneticPr fontId="5" type="noConversion"/>
  </si>
  <si>
    <t>공사기간별</t>
    <phoneticPr fontId="5" type="noConversion"/>
  </si>
  <si>
    <t>공사규모별</t>
    <phoneticPr fontId="5" type="noConversion"/>
  </si>
  <si>
    <t>건축</t>
    <phoneticPr fontId="5" type="noConversion"/>
  </si>
  <si>
    <t>토목</t>
    <phoneticPr fontId="5" type="noConversion"/>
  </si>
  <si>
    <t>산업설비</t>
    <phoneticPr fontId="5" type="noConversion"/>
  </si>
  <si>
    <t>조경</t>
    <phoneticPr fontId="5" type="noConversion"/>
  </si>
  <si>
    <t>6개월이하</t>
    <phoneticPr fontId="5" type="noConversion"/>
  </si>
  <si>
    <t>6개월초과
~
12개월이하</t>
    <phoneticPr fontId="5" type="noConversion"/>
  </si>
  <si>
    <t>12개월초과
~
36개월이하</t>
    <phoneticPr fontId="5" type="noConversion"/>
  </si>
  <si>
    <t>36개월초과</t>
    <phoneticPr fontId="5" type="noConversion"/>
  </si>
  <si>
    <t>5억미만</t>
    <phoneticPr fontId="5" type="noConversion"/>
  </si>
  <si>
    <t>5~30억
미만</t>
    <phoneticPr fontId="5" type="noConversion"/>
  </si>
  <si>
    <t>30~50억
미만</t>
    <phoneticPr fontId="5" type="noConversion"/>
  </si>
  <si>
    <t>50~300
억미만</t>
    <phoneticPr fontId="5" type="noConversion"/>
  </si>
  <si>
    <t>300~1,000억미만</t>
    <phoneticPr fontId="5" type="noConversion"/>
  </si>
  <si>
    <t>수도광열비</t>
    <phoneticPr fontId="5" type="noConversion"/>
  </si>
  <si>
    <t>ㅇ 공사내용 기입 :</t>
    <phoneticPr fontId="5" type="noConversion"/>
  </si>
  <si>
    <t>공사종류</t>
    <phoneticPr fontId="5" type="noConversion"/>
  </si>
  <si>
    <t>공사기간</t>
    <phoneticPr fontId="5" type="noConversion"/>
  </si>
  <si>
    <t>시설사용</t>
    <phoneticPr fontId="5" type="noConversion"/>
  </si>
  <si>
    <t>계약금액</t>
    <phoneticPr fontId="5" type="noConversion"/>
  </si>
  <si>
    <t>천원,</t>
    <phoneticPr fontId="5" type="noConversion"/>
  </si>
  <si>
    <t>직접재료비</t>
    <phoneticPr fontId="5" type="noConversion"/>
  </si>
  <si>
    <t>직접노무비</t>
    <phoneticPr fontId="5" type="noConversion"/>
  </si>
  <si>
    <t>천원</t>
    <phoneticPr fontId="5" type="noConversion"/>
  </si>
  <si>
    <t>+</t>
    <phoneticPr fontId="5" type="noConversion"/>
  </si>
  <si>
    <t>) × ( (</t>
    <phoneticPr fontId="5" type="noConversion"/>
  </si>
  <si>
    <t>공사규모</t>
    <phoneticPr fontId="5" type="noConversion"/>
  </si>
  <si>
    <t>) / 3 )</t>
    <phoneticPr fontId="5" type="noConversion"/>
  </si>
  <si>
    <t>= (</t>
    <phoneticPr fontId="5" type="noConversion"/>
  </si>
  <si>
    <t>=</t>
    <phoneticPr fontId="5" type="noConversion"/>
  </si>
  <si>
    <t>원</t>
    <phoneticPr fontId="5" type="noConversion"/>
  </si>
  <si>
    <t>+</t>
  </si>
  <si>
    <t>원</t>
    <phoneticPr fontId="3" type="noConversion"/>
  </si>
  <si>
    <t>직접입력</t>
    <phoneticPr fontId="3" type="noConversion"/>
  </si>
  <si>
    <t>콤보박스 선택</t>
    <phoneticPr fontId="3" type="noConversion"/>
  </si>
  <si>
    <t>□ 2024년도 완성공사 원가통계(경비율)</t>
    <phoneticPr fontId="5" type="noConversion"/>
  </si>
  <si>
    <t>공사</t>
    <phoneticPr fontId="3" type="noConversion"/>
  </si>
  <si>
    <t>□ 전력비 및 수도광열비 계산식</t>
    <phoneticPr fontId="5" type="noConversion"/>
  </si>
  <si>
    <t>※ 출처: 대한건설협회 '완성공사 원가통계' (2025. 9. 29. 공표 자료 적용)</t>
    <phoneticPr fontId="5" type="noConversion"/>
  </si>
  <si>
    <t>×</t>
  </si>
  <si>
    <t>1. 공사명 작성</t>
    <phoneticPr fontId="3" type="noConversion"/>
  </si>
  <si>
    <t>3. 초록색 박스에 직접 입력: 계약내역서의 계약금액, 직접재료비, 직접노무비 입력</t>
    <phoneticPr fontId="3" type="noConversion"/>
  </si>
  <si>
    <t>※ 전기,통신,소방공사는 '산업설비요율' 적용</t>
    <phoneticPr fontId="5" type="noConversion"/>
  </si>
  <si>
    <t>공공요금 계산기 사용법</t>
    <phoneticPr fontId="3" type="noConversion"/>
  </si>
  <si>
    <t>12개월초과 36개월이하</t>
  </si>
  <si>
    <t>수도광열비</t>
    <phoneticPr fontId="3" type="noConversion"/>
  </si>
  <si>
    <t>【수도광열비】 = (</t>
    <phoneticPr fontId="5" type="noConversion"/>
  </si>
  <si>
    <t>징수금액 :</t>
    <phoneticPr fontId="3" type="noConversion"/>
  </si>
  <si>
    <t>2. 콤보박스(하늘색) 선택: 공사종류 및 공사기간 선택</t>
    <phoneticPr fontId="3" type="noConversion"/>
  </si>
  <si>
    <t>건축</t>
  </si>
  <si>
    <t>※ "공사내용 기입"은 계약금액 기준으로 작성</t>
    <phoneticPr fontId="5" type="noConversion"/>
  </si>
  <si>
    <t>○○초 체육관 증축공사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</si>
</sst>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0_-;\-* #,##0.000_-;_-* &quot;-&quot;_-;_-@_-"/>
    <numFmt numFmtId="177" formatCode="0.000%"/>
    <numFmt numFmtId="178" formatCode="_-* #,##0.00_-;\-* #,##0.00_-;_-* &quot;-&quot;_-;_-@_-"/>
    <numFmt numFmtId="179" formatCode="_-* #,##0.0000000_-;\-* #,##0.000000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</font>
    <font>
      <sz val="8"/>
      <name val="돋움"/>
      <family val="3"/>
      <charset val="129"/>
    </font>
    <font>
      <sz val="20"/>
      <name val="맑은 고딕"/>
      <family val="3"/>
      <charset val="129"/>
    </font>
    <font>
      <b/>
      <sz val="20"/>
      <color theme="6" tint="-0.249977111117893"/>
      <name val="맑은 고딕"/>
      <family val="3"/>
      <charset val="129"/>
    </font>
    <font>
      <b/>
      <sz val="18"/>
      <name val="맑은 고딕"/>
      <family val="3"/>
      <charset val="129"/>
    </font>
    <font>
      <sz val="16"/>
      <name val="맑은 고딕"/>
      <family val="3"/>
      <charset val="129"/>
    </font>
    <font>
      <sz val="14"/>
      <name val="맑은 고딕"/>
      <family val="3"/>
      <charset val="129"/>
    </font>
    <font>
      <b/>
      <sz val="20"/>
      <color theme="0"/>
      <name val="HY헤드라인M"/>
      <family val="1"/>
      <charset val="129"/>
    </font>
    <font>
      <sz val="20"/>
      <name val="휴먼둥근헤드라인"/>
      <family val="1"/>
      <charset val="129"/>
    </font>
    <font>
      <b/>
      <sz val="20"/>
      <name val="새굴림"/>
      <family val="1"/>
      <charset val="129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0"/>
      <name val="맑은 고딕"/>
      <family val="3"/>
      <charset val="129"/>
    </font>
    <font>
      <sz val="14"/>
      <name val="HY헤드라인M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41" fontId="2" fillId="0" borderId="0" xfId="1" applyFont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3" borderId="2" xfId="1" applyFont="1" applyFill="1" applyBorder="1" applyAlignment="1">
      <alignment horizontal="center" vertical="center"/>
    </xf>
    <xf numFmtId="41" fontId="2" fillId="3" borderId="3" xfId="1" applyFont="1" applyFill="1" applyBorder="1" applyAlignment="1">
      <alignment horizontal="center" vertical="center"/>
    </xf>
    <xf numFmtId="41" fontId="2" fillId="3" borderId="4" xfId="1" applyFont="1" applyFill="1" applyBorder="1" applyAlignment="1">
      <alignment horizontal="center" vertical="center"/>
    </xf>
    <xf numFmtId="41" fontId="2" fillId="3" borderId="5" xfId="1" applyFont="1" applyFill="1" applyBorder="1" applyAlignment="1">
      <alignment horizontal="left" vertical="center"/>
    </xf>
    <xf numFmtId="41" fontId="2" fillId="3" borderId="11" xfId="1" applyFont="1" applyFill="1" applyBorder="1" applyAlignment="1">
      <alignment horizontal="center" vertical="center"/>
    </xf>
    <xf numFmtId="41" fontId="2" fillId="3" borderId="12" xfId="1" applyFont="1" applyFill="1" applyBorder="1" applyAlignment="1">
      <alignment horizontal="center" vertical="center"/>
    </xf>
    <xf numFmtId="41" fontId="2" fillId="3" borderId="13" xfId="1" applyFont="1" applyFill="1" applyBorder="1" applyAlignment="1">
      <alignment horizontal="center" vertical="center"/>
    </xf>
    <xf numFmtId="41" fontId="2" fillId="3" borderId="14" xfId="1" applyFont="1" applyFill="1" applyBorder="1" applyAlignment="1">
      <alignment horizontal="center" vertical="center"/>
    </xf>
    <xf numFmtId="41" fontId="10" fillId="0" borderId="0" xfId="1" quotePrefix="1" applyFont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41" fontId="2" fillId="0" borderId="16" xfId="1" applyFont="1" applyBorder="1" applyAlignment="1">
      <alignment horizontal="center" vertical="center"/>
    </xf>
    <xf numFmtId="41" fontId="2" fillId="0" borderId="17" xfId="1" applyFont="1" applyBorder="1" applyAlignment="1">
      <alignment horizontal="center" vertical="center"/>
    </xf>
    <xf numFmtId="41" fontId="2" fillId="0" borderId="18" xfId="1" applyFont="1" applyBorder="1" applyAlignment="1">
      <alignment horizontal="center" vertical="center"/>
    </xf>
    <xf numFmtId="41" fontId="2" fillId="0" borderId="10" xfId="1" applyFont="1" applyBorder="1" applyAlignment="1">
      <alignment horizontal="center" vertical="center"/>
    </xf>
    <xf numFmtId="41" fontId="2" fillId="0" borderId="0" xfId="1" applyFont="1" applyBorder="1" applyAlignment="1">
      <alignment horizontal="center" vertical="center"/>
    </xf>
    <xf numFmtId="41" fontId="2" fillId="0" borderId="9" xfId="1" applyFont="1" applyBorder="1" applyAlignment="1">
      <alignment horizontal="center" vertical="center"/>
    </xf>
    <xf numFmtId="41" fontId="4" fillId="0" borderId="0" xfId="1" applyFont="1" applyBorder="1" applyAlignment="1">
      <alignment horizontal="left" vertical="center"/>
    </xf>
    <xf numFmtId="41" fontId="6" fillId="0" borderId="0" xfId="1" applyFont="1" applyBorder="1" applyAlignment="1">
      <alignment horizontal="left" vertical="center"/>
    </xf>
    <xf numFmtId="0" fontId="2" fillId="0" borderId="0" xfId="1" applyNumberFormat="1" applyFont="1" applyBorder="1" applyAlignment="1">
      <alignment horizontal="right" vertical="center"/>
    </xf>
    <xf numFmtId="41" fontId="2" fillId="0" borderId="0" xfId="1" applyFont="1" applyBorder="1" applyAlignment="1">
      <alignment horizontal="left" vertical="center"/>
    </xf>
    <xf numFmtId="41" fontId="9" fillId="0" borderId="0" xfId="1" applyFont="1" applyBorder="1" applyAlignment="1">
      <alignment horizontal="left" vertical="center"/>
    </xf>
    <xf numFmtId="41" fontId="10" fillId="0" borderId="0" xfId="1" quotePrefix="1" applyFont="1" applyBorder="1" applyAlignment="1">
      <alignment horizontal="right" vertical="center"/>
    </xf>
    <xf numFmtId="41" fontId="2" fillId="0" borderId="0" xfId="1" applyFont="1" applyBorder="1" applyAlignment="1">
      <alignment vertical="center"/>
    </xf>
    <xf numFmtId="41" fontId="2" fillId="0" borderId="19" xfId="1" applyFont="1" applyBorder="1" applyAlignment="1">
      <alignment horizontal="center" vertical="center"/>
    </xf>
    <xf numFmtId="41" fontId="2" fillId="0" borderId="20" xfId="1" applyFont="1" applyBorder="1" applyAlignment="1">
      <alignment horizontal="center" vertical="center"/>
    </xf>
    <xf numFmtId="41" fontId="2" fillId="0" borderId="21" xfId="1" applyFont="1" applyBorder="1" applyAlignment="1">
      <alignment horizontal="center" vertical="center"/>
    </xf>
    <xf numFmtId="41" fontId="13" fillId="0" borderId="0" xfId="1" applyFont="1" applyBorder="1" applyAlignment="1">
      <alignment horizontal="left" vertical="center"/>
    </xf>
    <xf numFmtId="41" fontId="14" fillId="4" borderId="15" xfId="1" applyFont="1" applyFill="1" applyBorder="1" applyAlignment="1">
      <alignment horizontal="center" vertical="center"/>
    </xf>
    <xf numFmtId="41" fontId="14" fillId="0" borderId="0" xfId="1" quotePrefix="1" applyFont="1" applyBorder="1" applyAlignment="1">
      <alignment horizontal="center" vertical="center"/>
    </xf>
    <xf numFmtId="41" fontId="14" fillId="0" borderId="7" xfId="1" applyFont="1" applyBorder="1" applyAlignment="1">
      <alignment horizontal="center" vertical="center"/>
    </xf>
    <xf numFmtId="177" fontId="14" fillId="0" borderId="7" xfId="1" applyNumberFormat="1" applyFont="1" applyBorder="1" applyAlignment="1">
      <alignment horizontal="center" vertical="center"/>
    </xf>
    <xf numFmtId="41" fontId="14" fillId="0" borderId="15" xfId="1" applyFont="1" applyBorder="1" applyAlignment="1" applyProtection="1">
      <alignment horizontal="center" vertical="center" shrinkToFit="1"/>
      <protection hidden="1"/>
    </xf>
    <xf numFmtId="41" fontId="2" fillId="0" borderId="0" xfId="1" applyFont="1" applyFill="1" applyBorder="1" applyAlignment="1">
      <alignment horizontal="center" vertical="center"/>
    </xf>
    <xf numFmtId="41" fontId="7" fillId="0" borderId="13" xfId="1" applyFont="1" applyBorder="1" applyAlignment="1">
      <alignment horizontal="left" vertical="center"/>
    </xf>
    <xf numFmtId="41" fontId="2" fillId="0" borderId="13" xfId="1" applyFont="1" applyBorder="1" applyAlignment="1">
      <alignment horizontal="center" vertical="center"/>
    </xf>
    <xf numFmtId="41" fontId="2" fillId="0" borderId="22" xfId="1" applyFont="1" applyBorder="1" applyAlignment="1">
      <alignment horizontal="center" vertical="center"/>
    </xf>
    <xf numFmtId="41" fontId="7" fillId="10" borderId="0" xfId="1" applyFont="1" applyFill="1" applyBorder="1" applyAlignment="1">
      <alignment horizontal="left" vertical="center"/>
    </xf>
    <xf numFmtId="41" fontId="2" fillId="10" borderId="0" xfId="1" applyFont="1" applyFill="1" applyBorder="1" applyAlignment="1">
      <alignment horizontal="center" vertical="center"/>
    </xf>
    <xf numFmtId="41" fontId="9" fillId="10" borderId="12" xfId="1" applyFont="1" applyFill="1" applyBorder="1" applyAlignment="1">
      <alignment horizontal="left" vertical="center"/>
    </xf>
    <xf numFmtId="41" fontId="2" fillId="10" borderId="13" xfId="1" applyFont="1" applyFill="1" applyBorder="1" applyAlignment="1">
      <alignment horizontal="center" vertical="center"/>
    </xf>
    <xf numFmtId="41" fontId="2" fillId="10" borderId="14" xfId="1" applyFont="1" applyFill="1" applyBorder="1" applyAlignment="1">
      <alignment horizontal="center" vertical="center"/>
    </xf>
    <xf numFmtId="41" fontId="2" fillId="10" borderId="3" xfId="1" applyFont="1" applyFill="1" applyBorder="1" applyAlignment="1">
      <alignment horizontal="center" vertical="center"/>
    </xf>
    <xf numFmtId="41" fontId="2" fillId="10" borderId="4" xfId="1" applyFont="1" applyFill="1" applyBorder="1" applyAlignment="1">
      <alignment horizontal="center" vertical="center"/>
    </xf>
    <xf numFmtId="41" fontId="2" fillId="10" borderId="11" xfId="1" applyFont="1" applyFill="1" applyBorder="1" applyAlignment="1">
      <alignment horizontal="center" vertical="center"/>
    </xf>
    <xf numFmtId="41" fontId="14" fillId="0" borderId="0" xfId="1" applyFont="1" applyBorder="1" applyAlignment="1">
      <alignment horizontal="center" vertical="center"/>
    </xf>
    <xf numFmtId="177" fontId="14" fillId="0" borderId="0" xfId="1" applyNumberFormat="1" applyFont="1" applyBorder="1" applyAlignment="1">
      <alignment horizontal="center" vertical="center"/>
    </xf>
    <xf numFmtId="41" fontId="10" fillId="0" borderId="0" xfId="1" applyFont="1" applyBorder="1" applyAlignment="1">
      <alignment horizontal="left" vertical="center"/>
    </xf>
    <xf numFmtId="41" fontId="2" fillId="3" borderId="0" xfId="1" applyFont="1" applyFill="1" applyBorder="1" applyAlignment="1">
      <alignment horizontal="center" vertical="center"/>
    </xf>
    <xf numFmtId="41" fontId="2" fillId="3" borderId="10" xfId="1" applyFont="1" applyFill="1" applyBorder="1" applyAlignment="1">
      <alignment horizontal="left" vertical="center"/>
    </xf>
    <xf numFmtId="176" fontId="2" fillId="0" borderId="1" xfId="1" applyNumberFormat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12" fillId="7" borderId="0" xfId="1" applyFont="1" applyFill="1" applyBorder="1" applyAlignment="1" applyProtection="1">
      <alignment horizontal="left" vertical="center"/>
      <protection locked="0" hidden="1"/>
    </xf>
    <xf numFmtId="9" fontId="2" fillId="0" borderId="0" xfId="1" applyNumberFormat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41" fontId="2" fillId="11" borderId="0" xfId="1" applyFont="1" applyFill="1" applyAlignment="1">
      <alignment horizontal="center" vertical="center"/>
    </xf>
    <xf numFmtId="41" fontId="17" fillId="11" borderId="0" xfId="1" applyFont="1" applyFill="1" applyAlignment="1">
      <alignment horizontal="left" vertical="center"/>
    </xf>
    <xf numFmtId="41" fontId="9" fillId="0" borderId="0" xfId="1" applyFont="1" applyBorder="1" applyAlignment="1">
      <alignment vertical="center"/>
    </xf>
    <xf numFmtId="41" fontId="10" fillId="11" borderId="0" xfId="1" applyFont="1" applyFill="1" applyAlignment="1">
      <alignment horizontal="left" vertical="center"/>
    </xf>
    <xf numFmtId="179" fontId="2" fillId="0" borderId="0" xfId="1" applyNumberFormat="1" applyFont="1" applyAlignment="1">
      <alignment horizontal="center" vertical="center"/>
    </xf>
    <xf numFmtId="41" fontId="10" fillId="0" borderId="0" xfId="1" applyFont="1" applyFill="1" applyBorder="1" applyAlignment="1" applyProtection="1">
      <alignment horizontal="center" vertical="center"/>
      <protection hidden="1"/>
    </xf>
    <xf numFmtId="41" fontId="15" fillId="5" borderId="6" xfId="1" applyFont="1" applyFill="1" applyBorder="1" applyAlignment="1">
      <alignment horizontal="center" vertical="center"/>
    </xf>
    <xf numFmtId="41" fontId="15" fillId="5" borderId="7" xfId="1" applyFont="1" applyFill="1" applyBorder="1" applyAlignment="1">
      <alignment horizontal="center" vertical="center"/>
    </xf>
    <xf numFmtId="41" fontId="15" fillId="5" borderId="8" xfId="1" applyFont="1" applyFill="1" applyBorder="1" applyAlignment="1">
      <alignment horizontal="center" vertical="center"/>
    </xf>
    <xf numFmtId="41" fontId="14" fillId="0" borderId="6" xfId="1" applyFont="1" applyBorder="1" applyAlignment="1" applyProtection="1">
      <alignment horizontal="center" vertical="center" shrinkToFit="1"/>
      <protection hidden="1"/>
    </xf>
    <xf numFmtId="41" fontId="14" fillId="0" borderId="8" xfId="1" applyFont="1" applyBorder="1" applyAlignment="1" applyProtection="1">
      <alignment horizontal="center" vertical="center" shrinkToFit="1"/>
      <protection hidden="1"/>
    </xf>
    <xf numFmtId="41" fontId="14" fillId="0" borderId="10" xfId="1" applyFont="1" applyBorder="1" applyAlignment="1">
      <alignment horizontal="center" vertical="center"/>
    </xf>
    <xf numFmtId="41" fontId="14" fillId="0" borderId="0" xfId="1" applyFont="1" applyBorder="1" applyAlignment="1">
      <alignment horizontal="center" vertical="center"/>
    </xf>
    <xf numFmtId="177" fontId="14" fillId="0" borderId="6" xfId="1" applyNumberFormat="1" applyFont="1" applyBorder="1" applyAlignment="1" applyProtection="1">
      <alignment horizontal="center" vertical="center"/>
      <protection hidden="1"/>
    </xf>
    <xf numFmtId="177" fontId="14" fillId="0" borderId="8" xfId="1" applyNumberFormat="1" applyFont="1" applyBorder="1" applyAlignment="1" applyProtection="1">
      <alignment horizontal="center" vertical="center"/>
      <protection hidden="1"/>
    </xf>
    <xf numFmtId="177" fontId="14" fillId="0" borderId="10" xfId="1" applyNumberFormat="1" applyFont="1" applyBorder="1" applyAlignment="1">
      <alignment horizontal="center" vertical="center"/>
    </xf>
    <xf numFmtId="177" fontId="14" fillId="0" borderId="0" xfId="1" applyNumberFormat="1" applyFont="1" applyBorder="1" applyAlignment="1">
      <alignment horizontal="center" vertical="center"/>
    </xf>
    <xf numFmtId="49" fontId="14" fillId="0" borderId="0" xfId="1" applyNumberFormat="1" applyFont="1" applyBorder="1" applyAlignment="1">
      <alignment horizontal="center" vertical="center"/>
    </xf>
    <xf numFmtId="177" fontId="14" fillId="4" borderId="6" xfId="1" applyNumberFormat="1" applyFont="1" applyFill="1" applyBorder="1" applyAlignment="1">
      <alignment horizontal="center" vertical="center"/>
    </xf>
    <xf numFmtId="177" fontId="14" fillId="4" borderId="8" xfId="1" applyNumberFormat="1" applyFont="1" applyFill="1" applyBorder="1" applyAlignment="1">
      <alignment horizontal="center" vertical="center"/>
    </xf>
    <xf numFmtId="41" fontId="10" fillId="0" borderId="0" xfId="1" applyFont="1" applyBorder="1" applyAlignment="1">
      <alignment horizontal="left" vertical="center"/>
    </xf>
    <xf numFmtId="41" fontId="10" fillId="0" borderId="9" xfId="1" applyFont="1" applyBorder="1" applyAlignment="1">
      <alignment horizontal="left" vertical="center"/>
    </xf>
    <xf numFmtId="41" fontId="14" fillId="4" borderId="6" xfId="1" applyFont="1" applyFill="1" applyBorder="1" applyAlignment="1">
      <alignment horizontal="center" vertical="center"/>
    </xf>
    <xf numFmtId="41" fontId="14" fillId="4" borderId="8" xfId="1" applyFont="1" applyFill="1" applyBorder="1" applyAlignment="1">
      <alignment horizontal="center" vertical="center"/>
    </xf>
    <xf numFmtId="41" fontId="2" fillId="3" borderId="10" xfId="1" applyFont="1" applyFill="1" applyBorder="1" applyAlignment="1">
      <alignment horizontal="left" vertical="center"/>
    </xf>
    <xf numFmtId="41" fontId="2" fillId="3" borderId="0" xfId="1" applyFont="1" applyFill="1" applyBorder="1" applyAlignment="1">
      <alignment horizontal="left" vertical="center"/>
    </xf>
    <xf numFmtId="41" fontId="2" fillId="3" borderId="0" xfId="1" applyFont="1" applyFill="1" applyBorder="1" applyAlignment="1">
      <alignment horizontal="center" vertical="center"/>
    </xf>
    <xf numFmtId="41" fontId="2" fillId="3" borderId="9" xfId="1" applyFont="1" applyFill="1" applyBorder="1" applyAlignment="1">
      <alignment horizontal="center" vertical="center"/>
    </xf>
    <xf numFmtId="41" fontId="2" fillId="2" borderId="6" xfId="1" applyFont="1" applyFill="1" applyBorder="1" applyAlignment="1" applyProtection="1">
      <alignment horizontal="center" vertical="center"/>
      <protection locked="0"/>
    </xf>
    <xf numFmtId="41" fontId="2" fillId="2" borderId="8" xfId="1" applyFont="1" applyFill="1" applyBorder="1" applyAlignment="1" applyProtection="1">
      <alignment horizontal="center" vertical="center"/>
      <protection locked="0"/>
    </xf>
    <xf numFmtId="41" fontId="16" fillId="9" borderId="0" xfId="1" applyFont="1" applyFill="1" applyBorder="1" applyAlignment="1">
      <alignment horizontal="center" vertical="center"/>
    </xf>
    <xf numFmtId="41" fontId="2" fillId="8" borderId="6" xfId="1" applyFont="1" applyFill="1" applyBorder="1" applyAlignment="1" applyProtection="1">
      <alignment horizontal="center" vertical="center"/>
      <protection hidden="1"/>
    </xf>
    <xf numFmtId="41" fontId="2" fillId="8" borderId="8" xfId="1" applyFont="1" applyFill="1" applyBorder="1" applyAlignment="1" applyProtection="1">
      <alignment horizontal="center" vertical="center"/>
      <protection hidden="1"/>
    </xf>
    <xf numFmtId="41" fontId="2" fillId="3" borderId="9" xfId="1" applyFont="1" applyFill="1" applyBorder="1" applyAlignment="1">
      <alignment horizontal="left" vertical="center"/>
    </xf>
    <xf numFmtId="41" fontId="2" fillId="8" borderId="6" xfId="1" applyFont="1" applyFill="1" applyBorder="1" applyAlignment="1" applyProtection="1">
      <alignment horizontal="center" vertical="center"/>
      <protection locked="0"/>
    </xf>
    <xf numFmtId="41" fontId="2" fillId="8" borderId="8" xfId="1" applyFont="1" applyFill="1" applyBorder="1" applyAlignment="1" applyProtection="1">
      <alignment horizontal="center" vertical="center"/>
      <protection locked="0"/>
    </xf>
    <xf numFmtId="41" fontId="16" fillId="8" borderId="0" xfId="1" applyFont="1" applyFill="1" applyBorder="1" applyAlignment="1">
      <alignment horizontal="center" vertical="center"/>
    </xf>
    <xf numFmtId="41" fontId="8" fillId="10" borderId="0" xfId="1" applyFont="1" applyFill="1" applyBorder="1" applyAlignment="1">
      <alignment horizontal="left" vertical="center"/>
    </xf>
    <xf numFmtId="41" fontId="2" fillId="9" borderId="6" xfId="1" applyFont="1" applyFill="1" applyBorder="1" applyAlignment="1" applyProtection="1">
      <alignment horizontal="center" vertical="center"/>
      <protection locked="0"/>
    </xf>
    <xf numFmtId="41" fontId="2" fillId="9" borderId="7" xfId="1" applyFont="1" applyFill="1" applyBorder="1" applyAlignment="1" applyProtection="1">
      <alignment horizontal="center" vertical="center"/>
      <protection locked="0"/>
    </xf>
    <xf numFmtId="41" fontId="2" fillId="9" borderId="8" xfId="1" applyFont="1" applyFill="1" applyBorder="1" applyAlignment="1" applyProtection="1">
      <alignment horizontal="center" vertical="center"/>
      <protection locked="0"/>
    </xf>
    <xf numFmtId="176" fontId="2" fillId="0" borderId="1" xfId="1" applyNumberFormat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/>
    </xf>
    <xf numFmtId="41" fontId="11" fillId="6" borderId="0" xfId="1" applyFont="1" applyFill="1" applyBorder="1" applyAlignment="1">
      <alignment horizontal="center" vertical="center"/>
    </xf>
    <xf numFmtId="41" fontId="12" fillId="7" borderId="0" xfId="1" applyFont="1" applyFill="1" applyBorder="1" applyAlignment="1" applyProtection="1">
      <alignment horizontal="left" vertical="center"/>
      <protection locked="0" hidden="1"/>
    </xf>
  </cellXfs>
  <cellStyles count="2">
    <cellStyle name="쉼표 [0] 2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21DC-93E8-49A7-8DC9-9765E657652F}">
  <sheetPr>
    <tabColor rgb="FFFFC000"/>
    <pageSetUpPr fitToPage="1"/>
  </sheetPr>
  <dimension ref="A1:AL30"/>
  <sheetViews>
    <sheetView showGridLines="0" tabSelected="1" zoomScale="70" zoomScaleNormal="70" zoomScaleSheetLayoutView="90" workbookViewId="0">
      <selection activeCell="AF13" sqref="AF13"/>
    </sheetView>
  </sheetViews>
  <sheetFormatPr defaultColWidth="8.8984375" defaultRowHeight="17.399999999999999" x14ac:dyDescent="0.4"/>
  <cols>
    <col min="1" max="1" width="6.3984375" style="1" customWidth="1"/>
    <col min="2" max="2" width="11.19921875" style="1" customWidth="1"/>
    <col min="3" max="4" width="9.69921875" style="1" customWidth="1"/>
    <col min="5" max="7" width="5.19921875" style="1" customWidth="1"/>
    <col min="8" max="8" width="5.69921875" style="1" customWidth="1"/>
    <col min="9" max="11" width="5" style="1" customWidth="1"/>
    <col min="12" max="12" width="5.5" style="1" customWidth="1"/>
    <col min="13" max="13" width="5" style="1" customWidth="1"/>
    <col min="14" max="14" width="6.09765625" style="1" customWidth="1"/>
    <col min="15" max="15" width="5" style="1" customWidth="1"/>
    <col min="16" max="16" width="5.69921875" style="1" customWidth="1"/>
    <col min="17" max="20" width="5.296875" style="1" customWidth="1"/>
    <col min="21" max="24" width="5.19921875" style="1" customWidth="1"/>
    <col min="25" max="26" width="5.296875" style="1" customWidth="1"/>
    <col min="27" max="27" width="6.3984375" style="1" customWidth="1"/>
    <col min="28" max="28" width="9.3984375" style="1" bestFit="1" customWidth="1"/>
    <col min="29" max="29" width="4.796875" style="1" customWidth="1"/>
    <col min="30" max="31" width="11.69921875" style="1" bestFit="1" customWidth="1"/>
    <col min="32" max="33" width="8.8984375" style="1"/>
    <col min="34" max="34" width="11.69921875" style="1" bestFit="1" customWidth="1"/>
    <col min="35" max="16384" width="8.8984375" style="1"/>
  </cols>
  <sheetData>
    <row r="1" spans="1:38" ht="21.6" customHeight="1" x14ac:dyDescent="0.4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5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</row>
    <row r="2" spans="1:38" ht="43.8" customHeight="1" x14ac:dyDescent="0.4">
      <c r="A2" s="16"/>
      <c r="B2" s="101" t="s">
        <v>0</v>
      </c>
      <c r="C2" s="101"/>
      <c r="D2" s="102" t="s">
        <v>56</v>
      </c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54"/>
      <c r="AA2" s="18"/>
      <c r="AB2" s="57"/>
      <c r="AC2" s="58" t="s">
        <v>48</v>
      </c>
      <c r="AD2" s="57"/>
      <c r="AE2" s="57"/>
      <c r="AF2" s="57"/>
      <c r="AG2" s="57"/>
      <c r="AH2" s="57"/>
      <c r="AI2" s="57"/>
      <c r="AJ2" s="57"/>
      <c r="AK2" s="57"/>
      <c r="AL2" s="57"/>
    </row>
    <row r="3" spans="1:38" ht="11.4" customHeight="1" x14ac:dyDescent="0.4">
      <c r="A3" s="16"/>
      <c r="B3" s="19"/>
      <c r="C3" s="17"/>
      <c r="D3" s="20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8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</row>
    <row r="4" spans="1:38" ht="25.8" x14ac:dyDescent="0.4">
      <c r="A4" s="16"/>
      <c r="B4" s="29" t="s">
        <v>40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57"/>
      <c r="AC4" s="60" t="s">
        <v>45</v>
      </c>
      <c r="AD4" s="57"/>
      <c r="AE4" s="57"/>
      <c r="AF4" s="57"/>
      <c r="AG4" s="57"/>
      <c r="AH4" s="57"/>
      <c r="AI4" s="57"/>
      <c r="AJ4" s="57"/>
      <c r="AK4" s="57"/>
      <c r="AL4" s="57"/>
    </row>
    <row r="5" spans="1:38" ht="21" x14ac:dyDescent="0.4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21"/>
      <c r="Z5" s="21" t="s">
        <v>1</v>
      </c>
      <c r="AA5" s="18"/>
      <c r="AB5" s="57"/>
      <c r="AC5" s="60" t="s">
        <v>53</v>
      </c>
      <c r="AD5" s="57"/>
      <c r="AE5" s="57"/>
      <c r="AF5" s="57"/>
      <c r="AG5" s="57"/>
      <c r="AH5" s="57"/>
      <c r="AI5" s="57"/>
      <c r="AJ5" s="57"/>
      <c r="AK5" s="57"/>
      <c r="AL5" s="57"/>
    </row>
    <row r="6" spans="1:38" ht="28.2" customHeight="1" x14ac:dyDescent="0.4">
      <c r="A6" s="16"/>
      <c r="B6" s="100" t="s">
        <v>2</v>
      </c>
      <c r="C6" s="100" t="s">
        <v>3</v>
      </c>
      <c r="D6" s="100"/>
      <c r="E6" s="100"/>
      <c r="F6" s="100"/>
      <c r="G6" s="100"/>
      <c r="H6" s="100"/>
      <c r="I6" s="100" t="s">
        <v>4</v>
      </c>
      <c r="J6" s="100"/>
      <c r="K6" s="100"/>
      <c r="L6" s="100"/>
      <c r="M6" s="100"/>
      <c r="N6" s="100"/>
      <c r="O6" s="100"/>
      <c r="P6" s="100"/>
      <c r="Q6" s="100" t="s">
        <v>5</v>
      </c>
      <c r="R6" s="100"/>
      <c r="S6" s="100"/>
      <c r="T6" s="100"/>
      <c r="U6" s="100"/>
      <c r="V6" s="100"/>
      <c r="W6" s="100"/>
      <c r="X6" s="100"/>
      <c r="Y6" s="100"/>
      <c r="Z6" s="100"/>
      <c r="AA6" s="18"/>
      <c r="AB6" s="57"/>
      <c r="AC6" s="60" t="s">
        <v>46</v>
      </c>
      <c r="AD6" s="57"/>
      <c r="AE6" s="57"/>
      <c r="AF6" s="57"/>
      <c r="AG6" s="57"/>
      <c r="AH6" s="57"/>
      <c r="AI6" s="57"/>
      <c r="AJ6" s="57"/>
      <c r="AK6" s="57"/>
      <c r="AL6" s="57"/>
    </row>
    <row r="7" spans="1:38" ht="62.4" customHeight="1" x14ac:dyDescent="0.4">
      <c r="A7" s="16"/>
      <c r="B7" s="100"/>
      <c r="C7" s="53" t="s">
        <v>6</v>
      </c>
      <c r="D7" s="53" t="s">
        <v>7</v>
      </c>
      <c r="E7" s="100" t="s">
        <v>8</v>
      </c>
      <c r="F7" s="100"/>
      <c r="G7" s="100" t="s">
        <v>9</v>
      </c>
      <c r="H7" s="100"/>
      <c r="I7" s="99" t="s">
        <v>10</v>
      </c>
      <c r="J7" s="99"/>
      <c r="K7" s="99" t="s">
        <v>11</v>
      </c>
      <c r="L7" s="99"/>
      <c r="M7" s="99" t="s">
        <v>12</v>
      </c>
      <c r="N7" s="99"/>
      <c r="O7" s="99" t="s">
        <v>13</v>
      </c>
      <c r="P7" s="99"/>
      <c r="Q7" s="100" t="s">
        <v>14</v>
      </c>
      <c r="R7" s="100"/>
      <c r="S7" s="99" t="s">
        <v>15</v>
      </c>
      <c r="T7" s="99"/>
      <c r="U7" s="99" t="s">
        <v>16</v>
      </c>
      <c r="V7" s="99"/>
      <c r="W7" s="99" t="s">
        <v>17</v>
      </c>
      <c r="X7" s="99"/>
      <c r="Y7" s="99" t="s">
        <v>18</v>
      </c>
      <c r="Z7" s="99"/>
      <c r="AA7" s="18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</row>
    <row r="8" spans="1:38" ht="28.2" customHeight="1" x14ac:dyDescent="0.4">
      <c r="A8" s="16"/>
      <c r="B8" s="2" t="s">
        <v>19</v>
      </c>
      <c r="C8" s="52">
        <v>0.47927877116286127</v>
      </c>
      <c r="D8" s="52">
        <v>0.59679506317845665</v>
      </c>
      <c r="E8" s="98">
        <v>0.42199999999999999</v>
      </c>
      <c r="F8" s="98"/>
      <c r="G8" s="98">
        <v>0.36</v>
      </c>
      <c r="H8" s="98"/>
      <c r="I8" s="98">
        <v>0.23200000000000001</v>
      </c>
      <c r="J8" s="98"/>
      <c r="K8" s="98">
        <v>0.41</v>
      </c>
      <c r="L8" s="98"/>
      <c r="M8" s="98">
        <v>0.50900000000000001</v>
      </c>
      <c r="N8" s="98"/>
      <c r="O8" s="98">
        <v>0.59599999999999997</v>
      </c>
      <c r="P8" s="98"/>
      <c r="Q8" s="98">
        <v>0.154</v>
      </c>
      <c r="R8" s="98"/>
      <c r="S8" s="98">
        <v>0.19900000000000001</v>
      </c>
      <c r="T8" s="98"/>
      <c r="U8" s="98">
        <v>0.33100000000000002</v>
      </c>
      <c r="V8" s="98"/>
      <c r="W8" s="98">
        <v>0.61099999999999999</v>
      </c>
      <c r="X8" s="98"/>
      <c r="Y8" s="98">
        <v>0.72599999999999998</v>
      </c>
      <c r="Z8" s="98"/>
      <c r="AA8" s="18"/>
    </row>
    <row r="9" spans="1:38" ht="19.2" customHeight="1" x14ac:dyDescent="0.4">
      <c r="A9" s="16"/>
      <c r="B9" s="22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38" ht="28.2" customHeight="1" x14ac:dyDescent="0.4">
      <c r="A10" s="16"/>
      <c r="B10" s="22" t="s">
        <v>47</v>
      </c>
      <c r="C10" s="17"/>
      <c r="D10" s="35"/>
      <c r="E10" s="35"/>
      <c r="F10" s="35"/>
      <c r="G10" s="3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38" ht="28.2" customHeight="1" x14ac:dyDescent="0.4">
      <c r="A11" s="16"/>
      <c r="B11" s="22" t="s">
        <v>55</v>
      </c>
      <c r="C11" s="17"/>
      <c r="D11" s="35"/>
      <c r="E11" s="35"/>
      <c r="F11" s="35"/>
      <c r="G11" s="35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38" ht="28.2" customHeight="1" x14ac:dyDescent="0.4">
      <c r="A12" s="16"/>
      <c r="B12" s="22" t="s">
        <v>43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38" x14ac:dyDescent="0.4">
      <c r="A13" s="16"/>
      <c r="B13" s="2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8" ht="25.8" x14ac:dyDescent="0.4">
      <c r="A14" s="16"/>
      <c r="B14" s="29" t="s">
        <v>42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38" ht="20.100000000000001" customHeight="1" thickBot="1" x14ac:dyDescent="0.45">
      <c r="A15" s="16"/>
      <c r="B15" s="36"/>
      <c r="C15" s="37"/>
      <c r="D15" s="3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37"/>
      <c r="W15" s="17"/>
      <c r="X15" s="17"/>
      <c r="Y15" s="17"/>
      <c r="Z15" s="17"/>
      <c r="AA15" s="18"/>
    </row>
    <row r="16" spans="1:38" ht="9.9" customHeight="1" thickBot="1" x14ac:dyDescent="0.45">
      <c r="A16" s="38"/>
      <c r="B16" s="39"/>
      <c r="C16" s="40"/>
      <c r="D16" s="40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  <c r="W16" s="44"/>
      <c r="X16" s="44"/>
      <c r="Y16" s="44"/>
      <c r="Z16" s="45"/>
      <c r="AA16" s="18"/>
    </row>
    <row r="17" spans="1:30" ht="25.8" customHeight="1" thickBot="1" x14ac:dyDescent="0.45">
      <c r="A17" s="38"/>
      <c r="B17" s="94" t="s">
        <v>20</v>
      </c>
      <c r="C17" s="94"/>
      <c r="D17" s="94"/>
      <c r="E17" s="6" t="s">
        <v>21</v>
      </c>
      <c r="F17" s="50"/>
      <c r="G17" s="95" t="s">
        <v>54</v>
      </c>
      <c r="H17" s="96"/>
      <c r="I17" s="81" t="s">
        <v>41</v>
      </c>
      <c r="J17" s="82"/>
      <c r="K17" s="82" t="s">
        <v>22</v>
      </c>
      <c r="L17" s="90"/>
      <c r="M17" s="95" t="s">
        <v>49</v>
      </c>
      <c r="N17" s="97"/>
      <c r="O17" s="81"/>
      <c r="P17" s="82"/>
      <c r="Q17" s="83" t="s">
        <v>23</v>
      </c>
      <c r="R17" s="84"/>
      <c r="S17" s="85" t="s">
        <v>50</v>
      </c>
      <c r="T17" s="86"/>
      <c r="U17" s="50"/>
      <c r="V17" s="7"/>
      <c r="W17" s="40"/>
      <c r="X17" s="87" t="s">
        <v>39</v>
      </c>
      <c r="Y17" s="87"/>
      <c r="Z17" s="46"/>
      <c r="AA17" s="18"/>
      <c r="AD17" s="61"/>
    </row>
    <row r="18" spans="1:30" ht="25.8" customHeight="1" thickBot="1" x14ac:dyDescent="0.45">
      <c r="A18" s="38"/>
      <c r="B18" s="94"/>
      <c r="C18" s="94"/>
      <c r="D18" s="94"/>
      <c r="E18" s="6" t="s">
        <v>24</v>
      </c>
      <c r="F18" s="50"/>
      <c r="G18" s="88">
        <v>2112000</v>
      </c>
      <c r="H18" s="89"/>
      <c r="I18" s="81" t="s">
        <v>25</v>
      </c>
      <c r="J18" s="82"/>
      <c r="K18" s="82" t="s">
        <v>26</v>
      </c>
      <c r="L18" s="90"/>
      <c r="M18" s="91">
        <v>942000</v>
      </c>
      <c r="N18" s="92"/>
      <c r="O18" s="81" t="s">
        <v>25</v>
      </c>
      <c r="P18" s="82"/>
      <c r="Q18" s="83" t="s">
        <v>27</v>
      </c>
      <c r="R18" s="84"/>
      <c r="S18" s="91">
        <v>660000</v>
      </c>
      <c r="T18" s="92"/>
      <c r="U18" s="51" t="s">
        <v>28</v>
      </c>
      <c r="V18" s="7"/>
      <c r="W18" s="40"/>
      <c r="X18" s="93" t="s">
        <v>38</v>
      </c>
      <c r="Y18" s="93"/>
      <c r="Z18" s="46"/>
      <c r="AA18" s="18"/>
    </row>
    <row r="19" spans="1:30" ht="9.9" customHeight="1" thickBot="1" x14ac:dyDescent="0.45">
      <c r="A19" s="38"/>
      <c r="B19" s="41"/>
      <c r="C19" s="42"/>
      <c r="D19" s="43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42"/>
      <c r="X19" s="42"/>
      <c r="Y19" s="42"/>
      <c r="Z19" s="43"/>
      <c r="AA19" s="18"/>
    </row>
    <row r="20" spans="1:30" ht="25.2" x14ac:dyDescent="0.4">
      <c r="A20" s="16"/>
      <c r="B20" s="2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0" ht="30" customHeight="1" thickBot="1" x14ac:dyDescent="0.45">
      <c r="A21" s="16"/>
      <c r="B21" s="23"/>
      <c r="C21" s="17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V21" s="17"/>
      <c r="W21" s="17"/>
      <c r="X21" s="17"/>
      <c r="Y21" s="17"/>
      <c r="Z21" s="17"/>
      <c r="AA21" s="18"/>
    </row>
    <row r="22" spans="1:30" ht="33" customHeight="1" thickBot="1" x14ac:dyDescent="0.45">
      <c r="A22" s="16"/>
      <c r="B22" s="77" t="s">
        <v>51</v>
      </c>
      <c r="C22" s="78"/>
      <c r="D22" s="30" t="s">
        <v>26</v>
      </c>
      <c r="E22" s="31" t="s">
        <v>29</v>
      </c>
      <c r="F22" s="79" t="s">
        <v>27</v>
      </c>
      <c r="G22" s="80"/>
      <c r="H22" s="68" t="s">
        <v>30</v>
      </c>
      <c r="I22" s="69"/>
      <c r="J22" s="75" t="s">
        <v>21</v>
      </c>
      <c r="K22" s="76"/>
      <c r="L22" s="31" t="s">
        <v>36</v>
      </c>
      <c r="M22" s="75" t="s">
        <v>22</v>
      </c>
      <c r="N22" s="76"/>
      <c r="O22" s="31" t="s">
        <v>29</v>
      </c>
      <c r="P22" s="75" t="s">
        <v>31</v>
      </c>
      <c r="Q22" s="76"/>
      <c r="R22" s="72" t="s">
        <v>32</v>
      </c>
      <c r="S22" s="73"/>
      <c r="T22" s="1" t="s">
        <v>44</v>
      </c>
      <c r="U22" s="55">
        <v>0.9</v>
      </c>
      <c r="V22" s="12"/>
      <c r="W22" s="12"/>
      <c r="X22" s="12"/>
      <c r="Y22" s="12"/>
      <c r="Z22" s="17"/>
      <c r="AA22" s="18"/>
    </row>
    <row r="23" spans="1:30" ht="15" customHeight="1" thickBot="1" x14ac:dyDescent="0.45">
      <c r="A23" s="16"/>
      <c r="B23" s="49"/>
      <c r="C23" s="49"/>
      <c r="D23" s="32"/>
      <c r="E23" s="31"/>
      <c r="F23" s="32"/>
      <c r="G23" s="32"/>
      <c r="H23" s="47"/>
      <c r="I23" s="47"/>
      <c r="J23" s="33"/>
      <c r="K23" s="33"/>
      <c r="L23" s="31"/>
      <c r="M23" s="33"/>
      <c r="N23" s="33"/>
      <c r="O23" s="31"/>
      <c r="P23" s="33"/>
      <c r="Q23" s="33"/>
      <c r="R23" s="48"/>
      <c r="S23" s="48"/>
      <c r="V23" s="12"/>
      <c r="W23" s="12"/>
      <c r="X23" s="12"/>
      <c r="Y23" s="12"/>
      <c r="Z23" s="17"/>
      <c r="AA23" s="18"/>
    </row>
    <row r="24" spans="1:30" ht="33" customHeight="1" thickBot="1" x14ac:dyDescent="0.45">
      <c r="A24" s="16"/>
      <c r="B24" s="49"/>
      <c r="C24" s="24" t="s">
        <v>33</v>
      </c>
      <c r="D24" s="34">
        <f>M18</f>
        <v>942000</v>
      </c>
      <c r="E24" s="31" t="s">
        <v>29</v>
      </c>
      <c r="F24" s="66">
        <f>S18</f>
        <v>660000</v>
      </c>
      <c r="G24" s="67"/>
      <c r="H24" s="68" t="s">
        <v>30</v>
      </c>
      <c r="I24" s="69"/>
      <c r="J24" s="70">
        <f>HLOOKUP(G17, $C$7:$H$8,2,0)/100</f>
        <v>4.7927877116286126E-3</v>
      </c>
      <c r="K24" s="71"/>
      <c r="L24" s="31" t="s">
        <v>29</v>
      </c>
      <c r="M24" s="70">
        <f>IF($M$17="6개월이하", $I$8/100, IF($M$17="6개월초과 12개월이하", $K$8/100, IF($M$17="12개월초과 36개월이하", $M$8/100, IF($M$17="36개월초과", $O$8/100))))</f>
        <v>5.0899999999999999E-3</v>
      </c>
      <c r="N24" s="71"/>
      <c r="O24" s="31" t="s">
        <v>29</v>
      </c>
      <c r="P24" s="70">
        <f>IF(($G$18/1.1)&lt;500000, $Q$8/100, IF(($G$18/1.1)&lt;3000000, $S$8/100, IF(($G$18/1.1)&lt;5000000, $U$8/100, IF(($G$18/1.1)&lt;30000000, $W$8/100, IF(($G$18/1.1)&lt;100000000, $Y$8/100)))))</f>
        <v>1.99E-3</v>
      </c>
      <c r="Q24" s="71"/>
      <c r="R24" s="72" t="s">
        <v>32</v>
      </c>
      <c r="S24" s="73"/>
      <c r="T24" s="1" t="s">
        <v>44</v>
      </c>
      <c r="U24" s="55">
        <v>0.9</v>
      </c>
      <c r="V24" s="11" t="s">
        <v>34</v>
      </c>
      <c r="W24" s="62">
        <f>ROUNDDOWN(((D24+F24)*1000)*((J24+M24+P24)/3)*0.9,-3)</f>
        <v>5706000</v>
      </c>
      <c r="X24" s="62"/>
      <c r="Y24" s="62"/>
      <c r="Z24" s="22" t="s">
        <v>35</v>
      </c>
      <c r="AA24" s="18"/>
    </row>
    <row r="25" spans="1:30" ht="27.6" customHeight="1" thickBot="1" x14ac:dyDescent="0.4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V25" s="17"/>
      <c r="W25" s="17"/>
      <c r="X25" s="17"/>
      <c r="Y25" s="17"/>
      <c r="Z25" s="17"/>
      <c r="AA25" s="18"/>
    </row>
    <row r="26" spans="1:30" ht="33" customHeight="1" thickBot="1" x14ac:dyDescent="0.4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59" t="s">
        <v>52</v>
      </c>
      <c r="S26" s="59"/>
      <c r="V26" s="17"/>
      <c r="W26" s="63">
        <f>W24</f>
        <v>5706000</v>
      </c>
      <c r="X26" s="64"/>
      <c r="Y26" s="65"/>
      <c r="Z26" s="25" t="s">
        <v>37</v>
      </c>
      <c r="AA26" s="18"/>
    </row>
    <row r="27" spans="1:30" ht="18" thickBot="1" x14ac:dyDescent="0.4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30" spans="1:30" x14ac:dyDescent="0.4">
      <c r="AD30" s="56"/>
    </row>
  </sheetData>
  <mergeCells count="61">
    <mergeCell ref="B2:C2"/>
    <mergeCell ref="D2:Y2"/>
    <mergeCell ref="B6:B7"/>
    <mergeCell ref="C6:H6"/>
    <mergeCell ref="I6:P6"/>
    <mergeCell ref="Q6:Z6"/>
    <mergeCell ref="E7:F7"/>
    <mergeCell ref="G7:H7"/>
    <mergeCell ref="I7:J7"/>
    <mergeCell ref="K7:L7"/>
    <mergeCell ref="Y7:Z7"/>
    <mergeCell ref="W7:X7"/>
    <mergeCell ref="Y8:Z8"/>
    <mergeCell ref="M7:N7"/>
    <mergeCell ref="O7:P7"/>
    <mergeCell ref="Q7:R7"/>
    <mergeCell ref="S7:T7"/>
    <mergeCell ref="U7:V7"/>
    <mergeCell ref="O8:P8"/>
    <mergeCell ref="Q8:R8"/>
    <mergeCell ref="S8:T8"/>
    <mergeCell ref="U8:V8"/>
    <mergeCell ref="W8:X8"/>
    <mergeCell ref="E8:F8"/>
    <mergeCell ref="G8:H8"/>
    <mergeCell ref="I8:J8"/>
    <mergeCell ref="K8:L8"/>
    <mergeCell ref="M8:N8"/>
    <mergeCell ref="B17:D18"/>
    <mergeCell ref="G17:H17"/>
    <mergeCell ref="I17:J17"/>
    <mergeCell ref="K17:L17"/>
    <mergeCell ref="M17:N17"/>
    <mergeCell ref="O17:P17"/>
    <mergeCell ref="Q17:R17"/>
    <mergeCell ref="S17:T17"/>
    <mergeCell ref="X17:Y17"/>
    <mergeCell ref="G18:H18"/>
    <mergeCell ref="I18:J18"/>
    <mergeCell ref="K18:L18"/>
    <mergeCell ref="M18:N18"/>
    <mergeCell ref="O18:P18"/>
    <mergeCell ref="Q18:R18"/>
    <mergeCell ref="S18:T18"/>
    <mergeCell ref="X18:Y18"/>
    <mergeCell ref="D21:S21"/>
    <mergeCell ref="P22:Q22"/>
    <mergeCell ref="R22:S22"/>
    <mergeCell ref="B22:C22"/>
    <mergeCell ref="F22:G22"/>
    <mergeCell ref="H22:I22"/>
    <mergeCell ref="J22:K22"/>
    <mergeCell ref="M22:N22"/>
    <mergeCell ref="W24:Y24"/>
    <mergeCell ref="W26:Y26"/>
    <mergeCell ref="F24:G24"/>
    <mergeCell ref="H24:I24"/>
    <mergeCell ref="J24:K24"/>
    <mergeCell ref="M24:N24"/>
    <mergeCell ref="P24:Q24"/>
    <mergeCell ref="R24:S24"/>
  </mergeCells>
  <phoneticPr fontId="3" type="noConversion"/>
  <dataValidations count="2">
    <dataValidation type="list" allowBlank="1" showInputMessage="1" showErrorMessage="1" sqref="M17:N17" xr:uid="{3FFC72FE-82EA-4138-9CDA-B2457631D263}">
      <formula1>"6개월이하,6개월초과 12개월이하,12개월초과 36개월이하,36개월초과"</formula1>
    </dataValidation>
    <dataValidation type="list" operator="notBetween" allowBlank="1" showInputMessage="1" showErrorMessage="1" sqref="G17" xr:uid="{8E8E5419-FA5D-47A0-A9ED-25490A12455E}">
      <formula1>"건축,토목,산업설비,조경"</formula1>
    </dataValidation>
  </dataValidations>
  <pageMargins left="0.70866141732283472" right="0.39370078740157483" top="0.51181102362204722" bottom="0.51181102362204722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공공요금 계산기</vt:lpstr>
      <vt:lpstr>'공공요금 계산기'!Print_Area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서희정/시설과</cp:lastModifiedBy>
  <cp:lastPrinted>2025-11-21T05:53:44Z</cp:lastPrinted>
  <dcterms:created xsi:type="dcterms:W3CDTF">2025-04-15T04:58:19Z</dcterms:created>
  <dcterms:modified xsi:type="dcterms:W3CDTF">2025-11-21T06:38:16Z</dcterms:modified>
</cp:coreProperties>
</file>